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 Data" sheetId="1" state="visible" r:id="rId1"/>
    <sheet xmlns:r="http://schemas.openxmlformats.org/officeDocument/2006/relationships" name="Filtered Publics" sheetId="2" state="visible" r:id="rId2"/>
    <sheet xmlns:r="http://schemas.openxmlformats.org/officeDocument/2006/relationships" name="Tier 1 Summary" sheetId="3" state="visible" r:id="rId3"/>
    <sheet xmlns:r="http://schemas.openxmlformats.org/officeDocument/2006/relationships" name="Tier 2 Summary" sheetId="4" state="visible" r:id="rId4"/>
    <sheet xmlns:r="http://schemas.openxmlformats.org/officeDocument/2006/relationships" name="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;(0.0%);&quot;-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sz val="13"/>
    </font>
    <font>
      <name val="Arial"/>
      <b val="1"/>
      <color rgb="00000000"/>
      <sz val="10"/>
    </font>
    <font>
      <name val="Arial"/>
      <b val="1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5F5F5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6" customWidth="1" min="3" max="3"/>
    <col width="12" customWidth="1" min="4" max="4"/>
    <col width="18" customWidth="1" min="5" max="5"/>
    <col width="18" customWidth="1" min="6" max="6"/>
    <col width="18" customWidth="1" min="7" max="7"/>
    <col width="10" customWidth="1" min="8" max="8"/>
    <col width="10" customWidth="1" min="9" max="9"/>
    <col width="12" customWidth="1" min="10" max="10"/>
    <col width="48" customWidth="1" min="11" max="11"/>
    <col width="60" customWidth="1" min="12" max="12"/>
    <col width="12" customWidth="1" min="13" max="13"/>
    <col width="45" customWidth="1" min="14" max="14"/>
  </cols>
  <sheetData>
    <row r="1" ht="22" customHeight="1">
      <c r="A1" s="1" t="inlineStr">
        <is>
          <t>Supplier Data</t>
        </is>
      </c>
    </row>
    <row r="2" ht="32" customHeight="1">
      <c r="A2" s="2" t="inlineStr">
        <is>
          <t>DUNS Number</t>
        </is>
      </c>
      <c r="B2" s="2" t="inlineStr">
        <is>
          <t>Company Name</t>
        </is>
      </c>
      <c r="C2" s="2" t="inlineStr">
        <is>
          <t>Tier</t>
        </is>
      </c>
      <c r="D2" s="2" t="inlineStr">
        <is>
          <t>Period</t>
        </is>
      </c>
      <c r="E2" s="2" t="inlineStr">
        <is>
          <t>Revenue (USD)</t>
        </is>
      </c>
      <c r="F2" s="2" t="inlineStr">
        <is>
          <t>SG&amp;A (USD)</t>
        </is>
      </c>
      <c r="G2" s="2" t="inlineStr">
        <is>
          <t>EBIT (USD)</t>
        </is>
      </c>
      <c r="H2" s="2" t="inlineStr">
        <is>
          <t>SG&amp;A %</t>
        </is>
      </c>
      <c r="I2" s="2" t="inlineStr">
        <is>
          <t>EBIT %</t>
        </is>
      </c>
      <c r="J2" s="2" t="inlineStr">
        <is>
          <t>SG&amp;A+EBIT %</t>
        </is>
      </c>
      <c r="K2" s="2" t="inlineStr">
        <is>
          <t>OEM Customers</t>
        </is>
      </c>
      <c r="L2" s="2" t="inlineStr">
        <is>
          <t>Automotive Parts / Products</t>
        </is>
      </c>
      <c r="M2" s="2" t="inlineStr">
        <is>
          <t>Fiscal Year</t>
        </is>
      </c>
      <c r="N2" s="2" t="inlineStr">
        <is>
          <t>Source</t>
        </is>
      </c>
    </row>
    <row r="3">
      <c r="A3" s="3" t="n">
        <v>400020397</v>
      </c>
      <c r="B3" s="4" t="inlineStr">
        <is>
          <t>ARCELORMITTAL</t>
        </is>
      </c>
      <c r="C3" s="5" t="n">
        <v>1</v>
      </c>
      <c r="D3" s="5" t="inlineStr">
        <is>
          <t>FY2024</t>
        </is>
      </c>
      <c r="E3" s="6" t="n">
        <v>62400000000</v>
      </c>
      <c r="F3" s="6" t="n">
        <v>1100000000</v>
      </c>
      <c r="G3" s="6" t="n">
        <v>2700000000</v>
      </c>
      <c r="H3" s="7">
        <f>IF(OR(E3="",F3=""),"",F3/E3)</f>
        <v/>
      </c>
      <c r="I3" s="7">
        <f>IF(OR(E3="",G3=""),"",G3/E3)</f>
        <v/>
      </c>
      <c r="J3" s="7">
        <f>IF(OR(H3="",I3=""),"",H3+I3)</f>
        <v/>
      </c>
      <c r="K3" s="8" t="inlineStr">
        <is>
          <t>General Motors, Ford, Stellantis</t>
        </is>
      </c>
      <c r="L3" s="8" t="inlineStr">
        <is>
          <t>Ultra-high-strength steel, dual-phase steel, galvanized steel, steel tube</t>
        </is>
      </c>
      <c r="M3" s="5" t="inlineStr">
        <is>
          <t>FY2024</t>
        </is>
      </c>
      <c r="N3" s="8" t="inlineStr">
        <is>
          <t>ArcelorMittal 2024 Annual Results</t>
        </is>
      </c>
    </row>
    <row r="4">
      <c r="A4" s="9" t="n">
        <v>690570072</v>
      </c>
      <c r="B4" s="10" t="inlineStr">
        <is>
          <t>NIPPON STEEL CORPORATION</t>
        </is>
      </c>
      <c r="C4" s="11" t="n">
        <v>1</v>
      </c>
      <c r="D4" s="11" t="inlineStr">
        <is>
          <t>FY Mar2025</t>
        </is>
      </c>
      <c r="E4" s="12" t="n">
        <v>58000000000</v>
      </c>
      <c r="F4" s="12" t="n">
        <v>1740000000</v>
      </c>
      <c r="G4" s="12" t="n">
        <v>3020000000</v>
      </c>
      <c r="H4" s="13">
        <f>IF(OR(E4="",F4=""),"",F4/E4)</f>
        <v/>
      </c>
      <c r="I4" s="13">
        <f>IF(OR(E4="",G4=""),"",G4/E4)</f>
        <v/>
      </c>
      <c r="J4" s="13">
        <f>IF(OR(H4="",I4=""),"",H4+I4)</f>
        <v/>
      </c>
      <c r="K4" s="14" t="inlineStr">
        <is>
          <t>Toyota, Honda, Nissan, General Motors</t>
        </is>
      </c>
      <c r="L4" s="14" t="inlineStr">
        <is>
          <t>High-strength steel sheet, galvanized steel, electrical steel, steel tubes</t>
        </is>
      </c>
      <c r="M4" s="11" t="inlineStr">
        <is>
          <t>FY Mar2025</t>
        </is>
      </c>
      <c r="N4" s="14" t="inlineStr">
        <is>
          <t>Nippon Steel FY2024 Annual Report (JPY ~8.8T)</t>
        </is>
      </c>
    </row>
    <row r="5">
      <c r="A5" s="3" t="n">
        <v>275133692</v>
      </c>
      <c r="B5" s="4" t="inlineStr">
        <is>
          <t>COMPAGNIE DE SAINT-GOBAIN</t>
        </is>
      </c>
      <c r="C5" s="5" t="n">
        <v>1</v>
      </c>
      <c r="D5" s="5" t="inlineStr">
        <is>
          <t>FY2024</t>
        </is>
      </c>
      <c r="E5" s="6" t="n">
        <v>51870000000</v>
      </c>
      <c r="F5" s="6" t="n">
        <v>3200000000</v>
      </c>
      <c r="G5" s="6" t="n">
        <v>4250000000</v>
      </c>
      <c r="H5" s="7">
        <f>IF(OR(E5="",F5=""),"",F5/E5)</f>
        <v/>
      </c>
      <c r="I5" s="7">
        <f>IF(OR(E5="",G5=""),"",G5/E5)</f>
        <v/>
      </c>
      <c r="J5" s="7">
        <f>IF(OR(H5="",I5=""),"",H5+I5)</f>
        <v/>
      </c>
      <c r="K5" s="8" t="inlineStr">
        <is>
          <t>Volkswagen, BMW, Mercedes, Ford, Toyota, General Motors</t>
        </is>
      </c>
      <c r="L5" s="8" t="inlineStr">
        <is>
          <t>Automotive glass (Saint-Gobain Sekurit), sealing, abrasives</t>
        </is>
      </c>
      <c r="M5" s="5" t="inlineStr">
        <is>
          <t>FY2024</t>
        </is>
      </c>
      <c r="N5" s="8" t="inlineStr">
        <is>
          <t>Saint-Gobain 2024 Annual Report (EUR ~€48B)</t>
        </is>
      </c>
    </row>
    <row r="6">
      <c r="A6" s="9" t="n">
        <v>690597851</v>
      </c>
      <c r="B6" s="10" t="inlineStr">
        <is>
          <t>DENSO CORPORATION</t>
        </is>
      </c>
      <c r="C6" s="11" t="n">
        <v>1</v>
      </c>
      <c r="D6" s="11" t="inlineStr">
        <is>
          <t>FY Mar2025</t>
        </is>
      </c>
      <c r="E6" s="12" t="n">
        <v>48300000000</v>
      </c>
      <c r="F6" s="12" t="n">
        <v>3150000000</v>
      </c>
      <c r="G6" s="12" t="n">
        <v>2890000000</v>
      </c>
      <c r="H6" s="13">
        <f>IF(OR(E6="",F6=""),"",F6/E6)</f>
        <v/>
      </c>
      <c r="I6" s="13">
        <f>IF(OR(E6="",G6=""),"",G6/E6)</f>
        <v/>
      </c>
      <c r="J6" s="13">
        <f>IF(OR(H6="",I6=""),"",H6+I6)</f>
        <v/>
      </c>
      <c r="K6" s="14" t="inlineStr">
        <is>
          <t>Toyota, Honda, Nissan, Subaru, Mazda, General Motors</t>
        </is>
      </c>
      <c r="L6" s="14" t="inlineStr">
        <is>
          <t>HVAC systems, fuel injection systems, starters, alternators, EV motors, thermal management, sensors</t>
        </is>
      </c>
      <c r="M6" s="11" t="inlineStr">
        <is>
          <t>FY Mar2025</t>
        </is>
      </c>
      <c r="N6" s="14" t="inlineStr">
        <is>
          <t>Denso FY2024 Annual Report (JPY 7.2T)</t>
        </is>
      </c>
    </row>
    <row r="7">
      <c r="A7" s="3" t="n">
        <v>201516002</v>
      </c>
      <c r="B7" s="4" t="inlineStr">
        <is>
          <t>MAGNA INTERNATIONAL INC</t>
        </is>
      </c>
      <c r="C7" s="5" t="n">
        <v>1</v>
      </c>
      <c r="D7" s="5" t="inlineStr">
        <is>
          <t>FY2024</t>
        </is>
      </c>
      <c r="E7" s="6" t="n">
        <v>42800000000</v>
      </c>
      <c r="F7" s="6" t="n">
        <v>1490000000</v>
      </c>
      <c r="G7" s="6" t="n">
        <v>1450000000</v>
      </c>
      <c r="H7" s="7">
        <f>IF(OR(E7="",F7=""),"",F7/E7)</f>
        <v/>
      </c>
      <c r="I7" s="7">
        <f>IF(OR(E7="",G7=""),"",G7/E7)</f>
        <v/>
      </c>
      <c r="J7" s="7">
        <f>IF(OR(H7="",I7=""),"",H7+I7)</f>
        <v/>
      </c>
      <c r="K7" s="8" t="inlineStr">
        <is>
          <t>General Motors, Ford, Stellantis, Tesla, Honda, Toyota</t>
        </is>
      </c>
      <c r="L7" s="8" t="inlineStr">
        <is>
          <t>Body/chassis stampings, seating systems, exterior mirrors, powertrain components, vision systems, roof systems, closures</t>
        </is>
      </c>
      <c r="M7" s="5" t="inlineStr">
        <is>
          <t>FY2024</t>
        </is>
      </c>
      <c r="N7" s="8" t="inlineStr">
        <is>
          <t>Magna 2024 Annual Report</t>
        </is>
      </c>
    </row>
    <row r="8">
      <c r="A8" s="9" t="n">
        <v>690535588</v>
      </c>
      <c r="B8" s="10" t="inlineStr">
        <is>
          <t>AISIN CORP</t>
        </is>
      </c>
      <c r="C8" s="11" t="n">
        <v>1</v>
      </c>
      <c r="D8" s="11" t="inlineStr">
        <is>
          <t>FY Mar2025</t>
        </is>
      </c>
      <c r="E8" s="12" t="n">
        <v>30954000000</v>
      </c>
      <c r="F8" s="12" t="n">
        <v>2546000000</v>
      </c>
      <c r="G8" s="12" t="n">
        <v>1173000000</v>
      </c>
      <c r="H8" s="13">
        <f>IF(OR(E8="",F8=""),"",F8/E8)</f>
        <v/>
      </c>
      <c r="I8" s="13">
        <f>IF(OR(E8="",G8=""),"",G8/E8)</f>
        <v/>
      </c>
      <c r="J8" s="13">
        <f>IF(OR(H8="",I8=""),"",H8+I8)</f>
        <v/>
      </c>
      <c r="K8" s="14" t="inlineStr">
        <is>
          <t>Toyota, Volkswagen, BMW, Stellantis</t>
        </is>
      </c>
      <c r="L8" s="14" t="inlineStr">
        <is>
          <t>Automatic transmissions, door hardware, water pumps, brakes, EV drive units</t>
        </is>
      </c>
      <c r="M8" s="11" t="inlineStr">
        <is>
          <t>FY Mar2025</t>
        </is>
      </c>
      <c r="N8" s="14" t="inlineStr">
        <is>
          <t>Aisin FY2025 Earnings Release (JPY ~4.62T)</t>
        </is>
      </c>
    </row>
    <row r="9">
      <c r="A9" s="3" t="n">
        <v>3446796</v>
      </c>
      <c r="B9" s="4" t="inlineStr">
        <is>
          <t>NUCOR CORP</t>
        </is>
      </c>
      <c r="C9" s="5" t="n">
        <v>1</v>
      </c>
      <c r="D9" s="5" t="inlineStr">
        <is>
          <t>FY2024</t>
        </is>
      </c>
      <c r="E9" s="6" t="n">
        <v>30360000000</v>
      </c>
      <c r="F9" s="6" t="n">
        <v>420000000</v>
      </c>
      <c r="G9" s="6" t="n">
        <v>2630000000</v>
      </c>
      <c r="H9" s="7">
        <f>IF(OR(E9="",F9=""),"",F9/E9)</f>
        <v/>
      </c>
      <c r="I9" s="7">
        <f>IF(OR(E9="",G9=""),"",G9/E9)</f>
        <v/>
      </c>
      <c r="J9" s="7">
        <f>IF(OR(H9="",I9=""),"",H9+I9)</f>
        <v/>
      </c>
      <c r="K9" s="8" t="inlineStr">
        <is>
          <t>General Motors, Mercedes</t>
        </is>
      </c>
      <c r="L9" s="8" t="inlineStr">
        <is>
          <t>Flat-rolled steel sheet, steel bars, structural steel for automotive</t>
        </is>
      </c>
      <c r="M9" s="5" t="inlineStr">
        <is>
          <t>FY2024</t>
        </is>
      </c>
      <c r="N9" s="8" t="inlineStr">
        <is>
          <t>Nucor 2024 10-K</t>
        </is>
      </c>
    </row>
    <row r="10">
      <c r="A10" s="9" t="n">
        <v>690556345</v>
      </c>
      <c r="B10" s="10" t="inlineStr">
        <is>
          <t>SUMITOMO ELECTRIC INDUSTRIES LTD</t>
        </is>
      </c>
      <c r="C10" s="11" t="n">
        <v>1</v>
      </c>
      <c r="D10" s="11" t="inlineStr">
        <is>
          <t>FY Mar2025</t>
        </is>
      </c>
      <c r="E10" s="12" t="n">
        <v>30100000000</v>
      </c>
      <c r="F10" s="12" t="n">
        <v>1750000000</v>
      </c>
      <c r="G10" s="12" t="n">
        <v>1200000000</v>
      </c>
      <c r="H10" s="13">
        <f>IF(OR(E10="",F10=""),"",F10/E10)</f>
        <v/>
      </c>
      <c r="I10" s="13">
        <f>IF(OR(E10="",G10=""),"",G10/E10)</f>
        <v/>
      </c>
      <c r="J10" s="13">
        <f>IF(OR(H10="",I10=""),"",H10+I10)</f>
        <v/>
      </c>
      <c r="K10" s="14" t="inlineStr">
        <is>
          <t>Toyota, Honda, Volkswagen</t>
        </is>
      </c>
      <c r="L10" s="14" t="inlineStr">
        <is>
          <t>Wiring harnesses, optical fiber cables, power cables, brake hoses</t>
        </is>
      </c>
      <c r="M10" s="11" t="inlineStr">
        <is>
          <t>FY Mar2025</t>
        </is>
      </c>
      <c r="N10" s="14" t="inlineStr">
        <is>
          <t>Sumitomo Electric FY2024 (JPY ~4.5T)</t>
        </is>
      </c>
    </row>
    <row r="11">
      <c r="A11" s="3" t="n">
        <v>281938431</v>
      </c>
      <c r="B11" s="4" t="inlineStr">
        <is>
          <t>COMPAGNIE GENERALE DES ETABLISSEMEN</t>
        </is>
      </c>
      <c r="C11" s="5" t="n">
        <v>1</v>
      </c>
      <c r="D11" s="5" t="inlineStr">
        <is>
          <t>FY2024</t>
        </is>
      </c>
      <c r="E11" s="6" t="n">
        <v>29700000000</v>
      </c>
      <c r="F11" s="6" t="n">
        <v>2100000000</v>
      </c>
      <c r="G11" s="6" t="n">
        <v>2650000000</v>
      </c>
      <c r="H11" s="7">
        <f>IF(OR(E11="",F11=""),"",F11/E11)</f>
        <v/>
      </c>
      <c r="I11" s="7">
        <f>IF(OR(E11="",G11=""),"",G11/E11)</f>
        <v/>
      </c>
      <c r="J11" s="7">
        <f>IF(OR(H11="",I11=""),"",H11+I11)</f>
        <v/>
      </c>
      <c r="K11" s="8" t="inlineStr">
        <is>
          <t>Volkswagen, Mercedes, BMW, Tesla, Stellantis, Renault</t>
        </is>
      </c>
      <c r="L11" s="8" t="inlineStr">
        <is>
          <t>Passenger tires, truck tires, OTR tires, specialty tires, tire accessories</t>
        </is>
      </c>
      <c r="M11" s="5" t="inlineStr">
        <is>
          <t>FY2024</t>
        </is>
      </c>
      <c r="N11" s="8" t="inlineStr">
        <is>
          <t>Michelin 2024 Annual Results (EUR ~€27.5B)</t>
        </is>
      </c>
    </row>
    <row r="12">
      <c r="A12" s="9" t="n">
        <v>275124311</v>
      </c>
      <c r="B12" s="10" t="inlineStr">
        <is>
          <t>FAURECIA</t>
        </is>
      </c>
      <c r="C12" s="11" t="n">
        <v>1</v>
      </c>
      <c r="D12" s="11" t="inlineStr">
        <is>
          <t>FY2024</t>
        </is>
      </c>
      <c r="E12" s="12" t="n">
        <v>26600000000</v>
      </c>
      <c r="F12" s="12" t="n">
        <v>1410000000</v>
      </c>
      <c r="G12" s="12" t="n">
        <v>1020000000</v>
      </c>
      <c r="H12" s="13">
        <f>IF(OR(E12="",F12=""),"",F12/E12)</f>
        <v/>
      </c>
      <c r="I12" s="13">
        <f>IF(OR(E12="",G12=""),"",G12/E12)</f>
        <v/>
      </c>
      <c r="J12" s="13">
        <f>IF(OR(H12="",I12=""),"",H12+I12)</f>
        <v/>
      </c>
      <c r="K12" s="14" t="inlineStr">
        <is>
          <t>Volkswagen, BMW, Ford, General Motors, Stellantis, Renault</t>
        </is>
      </c>
      <c r="L12" s="14" t="inlineStr">
        <is>
          <t>Seating frames &amp; mechanisms, acoustic packages, exhaust systems, hydrogen storage tanks, cockpit modules</t>
        </is>
      </c>
      <c r="M12" s="11" t="inlineStr">
        <is>
          <t>FY2024</t>
        </is>
      </c>
      <c r="N12" s="14" t="inlineStr">
        <is>
          <t>FORVIA 2024 Full Year Results (EUR ~€24.6B)</t>
        </is>
      </c>
    </row>
    <row r="13">
      <c r="A13" s="3" t="n">
        <v>6415160</v>
      </c>
      <c r="B13" s="4" t="inlineStr">
        <is>
          <t>CUMMINS INC</t>
        </is>
      </c>
      <c r="C13" s="5" t="n">
        <v>1</v>
      </c>
      <c r="D13" s="5" t="inlineStr">
        <is>
          <t>Q3 2025</t>
        </is>
      </c>
      <c r="E13" s="6" t="n">
        <v>25655000000</v>
      </c>
      <c r="F13" s="6" t="n">
        <v>2474000000</v>
      </c>
      <c r="G13" s="6" t="n">
        <v>3018000000</v>
      </c>
      <c r="H13" s="7">
        <f>IF(OR(E13="",F13=""),"",F13/E13)</f>
        <v/>
      </c>
      <c r="I13" s="7">
        <f>IF(OR(E13="",G13=""),"",G13/E13)</f>
        <v/>
      </c>
      <c r="J13" s="7">
        <f>IF(OR(H13="",I13=""),"",H13+I13)</f>
        <v/>
      </c>
      <c r="K13" s="8" t="inlineStr">
        <is>
          <t>Stellantis</t>
        </is>
      </c>
      <c r="L13" s="8" t="inlineStr">
        <is>
          <t>Diesel/natural gas/hydrogen engines, emission after-treatment systems</t>
        </is>
      </c>
      <c r="M13" s="5" t="inlineStr">
        <is>
          <t>Q3 2025</t>
        </is>
      </c>
      <c r="N13" s="8" t="inlineStr">
        <is>
          <t>SEC 10-Q</t>
        </is>
      </c>
    </row>
    <row r="14">
      <c r="A14" s="9" t="n">
        <v>656000718</v>
      </c>
      <c r="B14" s="10" t="inlineStr">
        <is>
          <t>CHENG SHIN RUBBER INDUSTRIAL CO LTD</t>
        </is>
      </c>
      <c r="C14" s="11" t="n">
        <v>1</v>
      </c>
      <c r="D14" s="11" t="inlineStr">
        <is>
          <t>Q3 2025</t>
        </is>
      </c>
      <c r="E14" s="12" t="n">
        <v>23674526000</v>
      </c>
      <c r="F14" s="12" t="n">
        <v>2565285000</v>
      </c>
      <c r="G14" s="12" t="n">
        <v>2063211000</v>
      </c>
      <c r="H14" s="13">
        <f>IF(OR(E14="",F14=""),"",F14/E14)</f>
        <v/>
      </c>
      <c r="I14" s="13">
        <f>IF(OR(E14="",G14=""),"",G14/E14)</f>
        <v/>
      </c>
      <c r="J14" s="13">
        <f>IF(OR(H14="",I14=""),"",H14+I14)</f>
        <v/>
      </c>
      <c r="K14" s="14" t="inlineStr">
        <is>
          <t>General Motors, Ford, Toyota, Nissan</t>
        </is>
      </c>
      <c r="L14" s="14" t="inlineStr">
        <is>
          <t>Passenger tires, truck tires, off-road tires, bicycle tires</t>
        </is>
      </c>
      <c r="M14" s="11" t="inlineStr">
        <is>
          <t>Q3 2025</t>
        </is>
      </c>
      <c r="N14" s="14" t="inlineStr">
        <is>
          <t>Yahoo Finance (2105.TW)</t>
        </is>
      </c>
    </row>
    <row r="15">
      <c r="A15" s="3" t="n">
        <v>691239750</v>
      </c>
      <c r="B15" s="4" t="inlineStr">
        <is>
          <t>TOYOTA INDUSTRIES CORP</t>
        </is>
      </c>
      <c r="C15" s="5" t="n">
        <v>1</v>
      </c>
      <c r="D15" s="5" t="inlineStr">
        <is>
          <t>FY Mar2025</t>
        </is>
      </c>
      <c r="E15" s="6" t="n">
        <v>22800000000</v>
      </c>
      <c r="F15" s="6" t="n">
        <v>1300000000</v>
      </c>
      <c r="G15" s="6" t="n">
        <v>1850000000</v>
      </c>
      <c r="H15" s="7">
        <f>IF(OR(E15="",F15=""),"",F15/E15)</f>
        <v/>
      </c>
      <c r="I15" s="7">
        <f>IF(OR(E15="",G15=""),"",G15/E15)</f>
        <v/>
      </c>
      <c r="J15" s="7">
        <f>IF(OR(H15="",I15=""),"",H15+I15)</f>
        <v/>
      </c>
      <c r="K15" s="8" t="inlineStr">
        <is>
          <t>Toyota, Tesla, General Motors, Ford, Mercedes</t>
        </is>
      </c>
      <c r="L15" s="8" t="inlineStr">
        <is>
          <t>Compressors, inverters, EV motors, textile machinery (separate segment)</t>
        </is>
      </c>
      <c r="M15" s="5" t="inlineStr">
        <is>
          <t>FY Mar2025</t>
        </is>
      </c>
      <c r="N15" s="8" t="inlineStr">
        <is>
          <t>Toyota Industries FY2024 Annual Report (JPY ~3.4T)</t>
        </is>
      </c>
    </row>
    <row r="16">
      <c r="A16" s="9" t="n">
        <v>275242212</v>
      </c>
      <c r="B16" s="10" t="inlineStr">
        <is>
          <t>VALEO</t>
        </is>
      </c>
      <c r="C16" s="11" t="n">
        <v>1</v>
      </c>
      <c r="D16" s="11" t="inlineStr">
        <is>
          <t>FY2024</t>
        </is>
      </c>
      <c r="E16" s="12" t="n">
        <v>21700000000</v>
      </c>
      <c r="F16" s="12" t="n">
        <v>1360000000</v>
      </c>
      <c r="G16" s="12" t="n">
        <v>650000000</v>
      </c>
      <c r="H16" s="13">
        <f>IF(OR(E16="",F16=""),"",F16/E16)</f>
        <v/>
      </c>
      <c r="I16" s="13">
        <f>IF(OR(E16="",G16=""),"",G16/E16)</f>
        <v/>
      </c>
      <c r="J16" s="13">
        <f>IF(OR(H16="",I16=""),"",H16+I16)</f>
        <v/>
      </c>
      <c r="K16" s="14" t="inlineStr">
        <is>
          <t>Volkswagen, BMW, Mercedes, Renault, Volvo, General Motors</t>
        </is>
      </c>
      <c r="L16" s="14" t="inlineStr">
        <is>
          <t>Lighting systems, wiper systems, thermal systems, ADAS sensors, EV charging equipment, clutch modules</t>
        </is>
      </c>
      <c r="M16" s="11" t="inlineStr">
        <is>
          <t>FY2024</t>
        </is>
      </c>
      <c r="N16" s="14" t="inlineStr">
        <is>
          <t>Valeo 2024 Full Year Results (EUR ~€20.1B)</t>
        </is>
      </c>
    </row>
    <row r="17">
      <c r="A17" s="3" t="n">
        <v>985419987</v>
      </c>
      <c r="B17" s="4" t="inlineStr">
        <is>
          <t>EATON CORPORATION PUBLIC LTD CO</t>
        </is>
      </c>
      <c r="C17" s="5" t="n">
        <v>1</v>
      </c>
      <c r="D17" s="5" t="inlineStr">
        <is>
          <t>Q3 2025</t>
        </is>
      </c>
      <c r="E17" s="6" t="n">
        <v>18638000000</v>
      </c>
      <c r="F17" s="6" t="n">
        <v>3074000000</v>
      </c>
      <c r="G17" s="6" t="n"/>
      <c r="H17" s="7">
        <f>IF(OR(E17="",F17=""),"",F17/E17)</f>
        <v/>
      </c>
      <c r="I17" s="7">
        <f>IF(OR(E17="",G17=""),"",G17/E17)</f>
        <v/>
      </c>
      <c r="J17" s="7">
        <f>IF(OR(H17="",I17=""),"",H17+I17)</f>
        <v/>
      </c>
      <c r="K17" s="8" t="inlineStr">
        <is>
          <t>General Motors</t>
        </is>
      </c>
      <c r="L17" s="8" t="inlineStr">
        <is>
          <t>Transmission systems, vehicle power distribution, EV charging &amp; control</t>
        </is>
      </c>
      <c r="M17" s="5" t="inlineStr">
        <is>
          <t>Q3 2025</t>
        </is>
      </c>
      <c r="N17" s="8" t="inlineStr">
        <is>
          <t>SEC 10-Q</t>
        </is>
      </c>
    </row>
    <row r="18">
      <c r="A18" s="9" t="n">
        <v>690541503</v>
      </c>
      <c r="B18" s="10" t="inlineStr">
        <is>
          <t>HITACHI LTD</t>
        </is>
      </c>
      <c r="C18" s="11" t="n">
        <v>1</v>
      </c>
      <c r="D18" s="11" t="inlineStr">
        <is>
          <t>FY Mar2025</t>
        </is>
      </c>
      <c r="E18" s="12" t="n">
        <v>17800000000</v>
      </c>
      <c r="F18" s="12" t="n">
        <v>1100000000</v>
      </c>
      <c r="G18" s="12" t="n">
        <v>1950000000</v>
      </c>
      <c r="H18" s="13">
        <f>IF(OR(E18="",F18=""),"",F18/E18)</f>
        <v/>
      </c>
      <c r="I18" s="13">
        <f>IF(OR(E18="",G18=""),"",G18/E18)</f>
        <v/>
      </c>
      <c r="J18" s="13">
        <f>IF(OR(H18="",I18=""),"",H18+I18)</f>
        <v/>
      </c>
      <c r="K18" s="14" t="inlineStr">
        <is>
          <t>General Motors, Nissan, Ford, Volkswagen, Toyota</t>
        </is>
      </c>
      <c r="L18" s="14" t="inlineStr">
        <is>
          <t>EV inverters, motors, e-axles, ADAS radar, steering systems (Astemo JV)</t>
        </is>
      </c>
      <c r="M18" s="11" t="inlineStr">
        <is>
          <t>FY Mar2025</t>
        </is>
      </c>
      <c r="N18" s="14" t="inlineStr">
        <is>
          <t>Hitachi FY2024 Annual Report (JPY ~2.7T Astemo)</t>
        </is>
      </c>
    </row>
    <row r="19">
      <c r="A19" s="3" t="n">
        <v>175592476</v>
      </c>
      <c r="B19" s="4" t="inlineStr">
        <is>
          <t>LEAR CORP</t>
        </is>
      </c>
      <c r="C19" s="5" t="n">
        <v>1</v>
      </c>
      <c r="D19" s="5" t="inlineStr">
        <is>
          <t>Q3 2025</t>
        </is>
      </c>
      <c r="E19" s="6" t="n">
        <v>17591400000</v>
      </c>
      <c r="F19" s="6" t="n">
        <v>535900000</v>
      </c>
      <c r="G19" s="6" t="n">
        <v>677800000</v>
      </c>
      <c r="H19" s="7">
        <f>IF(OR(E19="",F19=""),"",F19/E19)</f>
        <v/>
      </c>
      <c r="I19" s="7">
        <f>IF(OR(E19="",G19=""),"",G19/E19)</f>
        <v/>
      </c>
      <c r="J19" s="7">
        <f>IF(OR(H19="",I19=""),"",H19+I19)</f>
        <v/>
      </c>
      <c r="K19" s="8" t="inlineStr">
        <is>
          <t>General Motors, Ford, BMW, Volkswagen</t>
        </is>
      </c>
      <c r="L19" s="8" t="inlineStr">
        <is>
          <t>Seat systems, seat mechanisms, seat foam &amp; trim, e-systems junction boxes, wiring harnesses</t>
        </is>
      </c>
      <c r="M19" s="5" t="inlineStr">
        <is>
          <t>Q3 2025</t>
        </is>
      </c>
      <c r="N19" s="8" t="inlineStr">
        <is>
          <t>SEC 10-Q</t>
        </is>
      </c>
    </row>
    <row r="20">
      <c r="A20" s="9" t="n">
        <v>5146428</v>
      </c>
      <c r="B20" s="10" t="inlineStr">
        <is>
          <t>ILLINOIS TOOL WORKS INC</t>
        </is>
      </c>
      <c r="C20" s="11" t="n">
        <v>1</v>
      </c>
      <c r="D20" s="11" t="inlineStr">
        <is>
          <t>FY2024</t>
        </is>
      </c>
      <c r="E20" s="12" t="n">
        <v>15900000000</v>
      </c>
      <c r="F20" s="12" t="n">
        <v>870000000</v>
      </c>
      <c r="G20" s="12" t="n">
        <v>4170000000</v>
      </c>
      <c r="H20" s="13">
        <f>IF(OR(E20="",F20=""),"",F20/E20)</f>
        <v/>
      </c>
      <c r="I20" s="13">
        <f>IF(OR(E20="",G20=""),"",G20/E20)</f>
        <v/>
      </c>
      <c r="J20" s="13">
        <f>IF(OR(H20="",I20=""),"",H20+I20)</f>
        <v/>
      </c>
      <c r="K20" s="14" t="inlineStr">
        <is>
          <t>General Motors, Toyota, Ford, Volkswagen, BMW, Tesla</t>
        </is>
      </c>
      <c r="L20" s="14" t="inlineStr">
        <is>
          <t>Automotive fasteners, polymers, fluids, welding equipment for OEM assembly</t>
        </is>
      </c>
      <c r="M20" s="11" t="inlineStr">
        <is>
          <t>FY2024</t>
        </is>
      </c>
      <c r="N20" s="14" t="inlineStr">
        <is>
          <t>ITW 2024 10-K</t>
        </is>
      </c>
    </row>
    <row r="21">
      <c r="A21" s="3" t="n">
        <v>421342800</v>
      </c>
      <c r="B21" s="4" t="inlineStr">
        <is>
          <t>NINGBO JOYSON ELECTRONIC CORP</t>
        </is>
      </c>
      <c r="C21" s="5" t="n">
        <v>1</v>
      </c>
      <c r="D21" s="5" t="inlineStr">
        <is>
          <t>Q2 2025</t>
        </is>
      </c>
      <c r="E21" s="6" t="n">
        <v>15771105261</v>
      </c>
      <c r="F21" s="6" t="n">
        <v>-315419028</v>
      </c>
      <c r="G21" s="6" t="n">
        <v>981368318</v>
      </c>
      <c r="H21" s="7">
        <f>IF(OR(E21="",F21=""),"",F21/E21)</f>
        <v/>
      </c>
      <c r="I21" s="7">
        <f>IF(OR(E21="",G21=""),"",G21/E21)</f>
        <v/>
      </c>
      <c r="J21" s="7">
        <f>IF(OR(H21="",I21=""),"",H21+I21)</f>
        <v/>
      </c>
      <c r="K21" s="8" t="inlineStr">
        <is>
          <t>Volkswagen, BMW, Mercedes, General Motors, Tesla</t>
        </is>
      </c>
      <c r="L21" s="8" t="inlineStr">
        <is>
          <t>Airbag systems, seatbelts, steering wheels, vehicle software (Key Safety Systems)</t>
        </is>
      </c>
      <c r="M21" s="5" t="inlineStr">
        <is>
          <t>Q2 2025</t>
        </is>
      </c>
      <c r="N21" s="8" t="inlineStr">
        <is>
          <t>Yahoo Finance (600699.SS)</t>
        </is>
      </c>
    </row>
    <row r="22">
      <c r="A22" s="9" t="n">
        <v>147964571</v>
      </c>
      <c r="B22" s="10" t="inlineStr">
        <is>
          <t>CLEVELAND CLIFFS INC</t>
        </is>
      </c>
      <c r="C22" s="11" t="n">
        <v>1</v>
      </c>
      <c r="D22" s="11" t="inlineStr">
        <is>
          <t>Q3 2025</t>
        </is>
      </c>
      <c r="E22" s="12" t="n">
        <v>14860000000</v>
      </c>
      <c r="F22" s="12" t="n">
        <v>347000000</v>
      </c>
      <c r="G22" s="12" t="n">
        <v>-298000000</v>
      </c>
      <c r="H22" s="13">
        <f>IF(OR(E22="",F22=""),"",F22/E22)</f>
        <v/>
      </c>
      <c r="I22" s="13">
        <f>IF(OR(E22="",G22=""),"",G22/E22)</f>
        <v/>
      </c>
      <c r="J22" s="13">
        <f>IF(OR(H22="",I22=""),"",H22+I22)</f>
        <v/>
      </c>
      <c r="K22" s="14" t="inlineStr">
        <is>
          <t>General Motors, Ford, Stellantis, Toyota</t>
        </is>
      </c>
      <c r="L22" s="14" t="inlineStr">
        <is>
          <t>Advanced high-strength steel, galvanized steel sheet, automotive steel stampings</t>
        </is>
      </c>
      <c r="M22" s="11" t="inlineStr">
        <is>
          <t>Q3 2025</t>
        </is>
      </c>
      <c r="N22" s="14" t="inlineStr">
        <is>
          <t>SEC 10-Q</t>
        </is>
      </c>
    </row>
    <row r="23">
      <c r="A23" s="3" t="n">
        <v>688298116</v>
      </c>
      <c r="B23" s="4" t="inlineStr">
        <is>
          <t>LG ELECTRONICS INC</t>
        </is>
      </c>
      <c r="C23" s="5" t="n">
        <v>1</v>
      </c>
      <c r="D23" s="5" t="inlineStr">
        <is>
          <t>Q3 2025</t>
        </is>
      </c>
      <c r="E23" s="6" t="n">
        <v>14498521440</v>
      </c>
      <c r="F23" s="6" t="n">
        <v>2555458746</v>
      </c>
      <c r="G23" s="6" t="n">
        <v>456633245</v>
      </c>
      <c r="H23" s="7">
        <f>IF(OR(E23="",F23=""),"",F23/E23)</f>
        <v/>
      </c>
      <c r="I23" s="7">
        <f>IF(OR(E23="",G23=""),"",G23/E23)</f>
        <v/>
      </c>
      <c r="J23" s="7">
        <f>IF(OR(H23="",I23=""),"",H23+I23)</f>
        <v/>
      </c>
      <c r="K23" s="8" t="inlineStr">
        <is>
          <t>General Motors, Toyota, Hyundai, Mercedes, Renault</t>
        </is>
      </c>
      <c r="L23" s="8" t="inlineStr">
        <is>
          <t>EV traction motors, infotainment systems, EV chargers, ADAS cameras</t>
        </is>
      </c>
      <c r="M23" s="5" t="inlineStr">
        <is>
          <t>Q3 2025</t>
        </is>
      </c>
      <c r="N23" s="8" t="inlineStr">
        <is>
          <t>Yahoo Finance (066570.KS)</t>
        </is>
      </c>
    </row>
    <row r="24">
      <c r="A24" s="9" t="n">
        <v>139469787</v>
      </c>
      <c r="B24" s="10" t="inlineStr">
        <is>
          <t>BORGWARNER INC</t>
        </is>
      </c>
      <c r="C24" s="11" t="n">
        <v>1</v>
      </c>
      <c r="D24" s="11" t="inlineStr">
        <is>
          <t>FY2024</t>
        </is>
      </c>
      <c r="E24" s="12" t="n">
        <v>14392000000</v>
      </c>
      <c r="F24" s="12" t="n">
        <v>576000000</v>
      </c>
      <c r="G24" s="12" t="n">
        <v>943000000</v>
      </c>
      <c r="H24" s="13">
        <f>IF(OR(E24="",F24=""),"",F24/E24)</f>
        <v/>
      </c>
      <c r="I24" s="13">
        <f>IF(OR(E24="",G24=""),"",G24/E24)</f>
        <v/>
      </c>
      <c r="J24" s="13">
        <f>IF(OR(H24="",I24=""),"",H24+I24)</f>
        <v/>
      </c>
      <c r="K24" s="14" t="inlineStr">
        <is>
          <t>General Motors, Ford, Toyota, Stellantis, Volkswagen</t>
        </is>
      </c>
      <c r="L24" s="14" t="inlineStr">
        <is>
          <t>Turbochargers, torque transfer systems, EV drive modules, battery packs, iDM systems</t>
        </is>
      </c>
      <c r="M24" s="11" t="inlineStr">
        <is>
          <t>FY2024</t>
        </is>
      </c>
      <c r="N24" s="14" t="inlineStr">
        <is>
          <t>BorgWarner 2024 10-K</t>
        </is>
      </c>
    </row>
    <row r="25">
      <c r="A25" s="3" t="n">
        <v>4467924</v>
      </c>
      <c r="B25" s="4" t="inlineStr">
        <is>
          <t>GOODYEAR TIRE &amp; RUBBER CO, THE</t>
        </is>
      </c>
      <c r="C25" s="5" t="n">
        <v>1</v>
      </c>
      <c r="D25" s="5" t="inlineStr">
        <is>
          <t>Q3 2025</t>
        </is>
      </c>
      <c r="E25" s="6" t="n">
        <v>13931000000</v>
      </c>
      <c r="F25" s="6" t="n">
        <v>2090000000</v>
      </c>
      <c r="G25" s="6" t="n"/>
      <c r="H25" s="7">
        <f>IF(OR(E25="",F25=""),"",F25/E25)</f>
        <v/>
      </c>
      <c r="I25" s="7">
        <f>IF(OR(E25="",G25=""),"",G25/E25)</f>
        <v/>
      </c>
      <c r="J25" s="7">
        <f>IF(OR(H25="",I25=""),"",H25+I25)</f>
        <v/>
      </c>
      <c r="K25" s="8" t="inlineStr">
        <is>
          <t>General Motors, Ford, Stellantis, Volkswagen, Audi</t>
        </is>
      </c>
      <c r="L25" s="8" t="inlineStr">
        <is>
          <t>Passenger tires, truck tires, run-flat tires, off-road tires</t>
        </is>
      </c>
      <c r="M25" s="5" t="inlineStr">
        <is>
          <t>Q3 2025</t>
        </is>
      </c>
      <c r="N25" s="8" t="inlineStr">
        <is>
          <t>SEC 10-Q</t>
        </is>
      </c>
    </row>
    <row r="26">
      <c r="A26" s="9" t="n">
        <v>985655816</v>
      </c>
      <c r="B26" s="10" t="inlineStr">
        <is>
          <t>ADIENT PUBLIC LTD CO</t>
        </is>
      </c>
      <c r="C26" s="11" t="n">
        <v>1</v>
      </c>
      <c r="D26" s="11" t="inlineStr">
        <is>
          <t>FY2024</t>
        </is>
      </c>
      <c r="E26" s="12" t="n">
        <v>13900000000</v>
      </c>
      <c r="F26" s="12" t="n">
        <v>620000000</v>
      </c>
      <c r="G26" s="12" t="n">
        <v>420000000</v>
      </c>
      <c r="H26" s="13">
        <f>IF(OR(E26="",F26=""),"",F26/E26)</f>
        <v/>
      </c>
      <c r="I26" s="13">
        <f>IF(OR(E26="",G26=""),"",G26/E26)</f>
        <v/>
      </c>
      <c r="J26" s="13">
        <f>IF(OR(H26="",I26=""),"",H26+I26)</f>
        <v/>
      </c>
      <c r="K26" s="14" t="inlineStr">
        <is>
          <t>Ford, General Motors, Stellantis, Volkswagen, BMW</t>
        </is>
      </c>
      <c r="L26" s="14" t="inlineStr">
        <is>
          <t>Seat frames, seat mechanisms, seat foam, seat trim/fabric, complete seat assemblies</t>
        </is>
      </c>
      <c r="M26" s="11" t="inlineStr">
        <is>
          <t>FY2024</t>
        </is>
      </c>
      <c r="N26" s="14" t="inlineStr">
        <is>
          <t>Adient FY2024 10-K</t>
        </is>
      </c>
    </row>
    <row r="27">
      <c r="A27" s="3" t="n">
        <v>690911185</v>
      </c>
      <c r="B27" s="4" t="inlineStr">
        <is>
          <t>TOYOTA BOSHOKU CORP</t>
        </is>
      </c>
      <c r="C27" s="5" t="n">
        <v>1</v>
      </c>
      <c r="D27" s="5" t="inlineStr">
        <is>
          <t>FY Mar2025</t>
        </is>
      </c>
      <c r="E27" s="6" t="n">
        <v>13900000000</v>
      </c>
      <c r="F27" s="6" t="n">
        <v>700000000</v>
      </c>
      <c r="G27" s="6" t="n">
        <v>490000000</v>
      </c>
      <c r="H27" s="7">
        <f>IF(OR(E27="",F27=""),"",F27/E27)</f>
        <v/>
      </c>
      <c r="I27" s="7">
        <f>IF(OR(E27="",G27=""),"",G27/E27)</f>
        <v/>
      </c>
      <c r="J27" s="7">
        <f>IF(OR(H27="",I27=""),"",H27+I27)</f>
        <v/>
      </c>
      <c r="K27" s="8" t="inlineStr">
        <is>
          <t>Toyota, Honda, Nissan, BMW, Subaru</t>
        </is>
      </c>
      <c r="L27" s="8" t="inlineStr">
        <is>
          <t>Interior systems, seat assemblies, door trim, air filters, fluid purification</t>
        </is>
      </c>
      <c r="M27" s="5" t="inlineStr">
        <is>
          <t>FY Mar2025</t>
        </is>
      </c>
      <c r="N27" s="8" t="inlineStr">
        <is>
          <t>Toyota Boshoku FY2024 Annual Report (JPY ~2.07T)</t>
        </is>
      </c>
    </row>
    <row r="28">
      <c r="A28" s="9" t="n">
        <v>631064016</v>
      </c>
      <c r="B28" s="10" t="inlineStr">
        <is>
          <t>SK INNOVATION CO LTD</t>
        </is>
      </c>
      <c r="C28" s="11" t="n">
        <v>1</v>
      </c>
      <c r="D28" s="11" t="inlineStr">
        <is>
          <t>Q4 2025</t>
        </is>
      </c>
      <c r="E28" s="12" t="n">
        <v>12798955642</v>
      </c>
      <c r="F28" s="12" t="n">
        <v>415817550</v>
      </c>
      <c r="G28" s="12" t="n">
        <v>223648732</v>
      </c>
      <c r="H28" s="13">
        <f>IF(OR(E28="",F28=""),"",F28/E28)</f>
        <v/>
      </c>
      <c r="I28" s="13">
        <f>IF(OR(E28="",G28=""),"",G28/E28)</f>
        <v/>
      </c>
      <c r="J28" s="13">
        <f>IF(OR(H28="",I28=""),"",H28+I28)</f>
        <v/>
      </c>
      <c r="K28" s="14" t="inlineStr">
        <is>
          <t>Ford, Volkswagen, Hyundai, Kia, Mercedes</t>
        </is>
      </c>
      <c r="L28" s="14" t="inlineStr">
        <is>
          <t>EV battery cells, battery modules, battery management systems</t>
        </is>
      </c>
      <c r="M28" s="11" t="inlineStr">
        <is>
          <t>Q4 2025</t>
        </is>
      </c>
      <c r="N28" s="14" t="inlineStr">
        <is>
          <t>Yahoo Finance (096770.KS)</t>
        </is>
      </c>
    </row>
    <row r="29">
      <c r="A29" s="3" t="n">
        <v>687741991</v>
      </c>
      <c r="B29" s="4" t="inlineStr">
        <is>
          <t>POSCO HOLDINGS INC</t>
        </is>
      </c>
      <c r="C29" s="5" t="n">
        <v>1</v>
      </c>
      <c r="D29" s="5" t="inlineStr">
        <is>
          <t>Q3 2025</t>
        </is>
      </c>
      <c r="E29" s="6" t="n">
        <v>11441078847</v>
      </c>
      <c r="F29" s="6" t="n">
        <v>392793091</v>
      </c>
      <c r="G29" s="6" t="n">
        <v>448828460</v>
      </c>
      <c r="H29" s="7">
        <f>IF(OR(E29="",F29=""),"",F29/E29)</f>
        <v/>
      </c>
      <c r="I29" s="7">
        <f>IF(OR(E29="",G29=""),"",G29/E29)</f>
        <v/>
      </c>
      <c r="J29" s="7">
        <f>IF(OR(H29="",I29=""),"",H29+I29)</f>
        <v/>
      </c>
      <c r="K29" s="8" t="inlineStr">
        <is>
          <t>Hyundai, Kia, General Motors, Ford, Tesla</t>
        </is>
      </c>
      <c r="L29" s="8" t="inlineStr">
        <is>
          <t>Automotive high-strength steel, EV battery steel cases, electrical steel</t>
        </is>
      </c>
      <c r="M29" s="5" t="inlineStr">
        <is>
          <t>Q3 2025</t>
        </is>
      </c>
      <c r="N29" s="8" t="inlineStr">
        <is>
          <t>Yahoo Finance (005490.KS)</t>
        </is>
      </c>
    </row>
    <row r="30">
      <c r="A30" s="9" t="n">
        <v>28117104</v>
      </c>
      <c r="B30" s="10" t="inlineStr">
        <is>
          <t>LKQ CORP</t>
        </is>
      </c>
      <c r="C30" s="11" t="n">
        <v>1</v>
      </c>
      <c r="D30" s="11" t="inlineStr">
        <is>
          <t>Q3 2025</t>
        </is>
      </c>
      <c r="E30" s="12" t="n">
        <v>10597000000</v>
      </c>
      <c r="F30" s="12" t="n">
        <v>2873000000</v>
      </c>
      <c r="G30" s="12" t="n">
        <v>886000000</v>
      </c>
      <c r="H30" s="13">
        <f>IF(OR(E30="",F30=""),"",F30/E30)</f>
        <v/>
      </c>
      <c r="I30" s="13">
        <f>IF(OR(E30="",G30=""),"",G30/E30)</f>
        <v/>
      </c>
      <c r="J30" s="13">
        <f>IF(OR(H30="",I30=""),"",H30+I30)</f>
        <v/>
      </c>
      <c r="K30" s="14" t="inlineStr">
        <is>
          <t>N/A</t>
        </is>
      </c>
      <c r="L30" s="14" t="inlineStr">
        <is>
          <t>Aftermarket collision parts, OEM-equivalent parts, salvage vehicles</t>
        </is>
      </c>
      <c r="M30" s="11" t="inlineStr">
        <is>
          <t>Q3 2025</t>
        </is>
      </c>
      <c r="N30" s="14" t="inlineStr">
        <is>
          <t>SEC 10-Q</t>
        </is>
      </c>
    </row>
    <row r="31">
      <c r="A31" s="3" t="n">
        <v>687755488</v>
      </c>
      <c r="B31" s="4" t="inlineStr">
        <is>
          <t>HYUNDAI MOBIS CO LTD</t>
        </is>
      </c>
      <c r="C31" s="5" t="n">
        <v>1</v>
      </c>
      <c r="D31" s="5" t="inlineStr">
        <is>
          <t>Q4 2025</t>
        </is>
      </c>
      <c r="E31" s="6" t="n">
        <v>10206152503</v>
      </c>
      <c r="F31" s="6" t="n">
        <v>395757915</v>
      </c>
      <c r="G31" s="6" t="n">
        <v>616826527</v>
      </c>
      <c r="H31" s="7">
        <f>IF(OR(E31="",F31=""),"",F31/E31)</f>
        <v/>
      </c>
      <c r="I31" s="7">
        <f>IF(OR(E31="",G31=""),"",G31/E31)</f>
        <v/>
      </c>
      <c r="J31" s="7">
        <f>IF(OR(H31="",I31=""),"",H31+I31)</f>
        <v/>
      </c>
      <c r="K31" s="8" t="inlineStr">
        <is>
          <t>Hyundai, Kia</t>
        </is>
      </c>
      <c r="L31" s="8" t="inlineStr">
        <is>
          <t>Chassis modules, front/rear axle modules, airbag systems, instrument panels, EV battery packs</t>
        </is>
      </c>
      <c r="M31" s="5" t="inlineStr">
        <is>
          <t>Q4 2025</t>
        </is>
      </c>
      <c r="N31" s="8" t="inlineStr">
        <is>
          <t>Yahoo Finance (012330.KS)</t>
        </is>
      </c>
    </row>
    <row r="32">
      <c r="A32" s="9" t="n">
        <v>690535646</v>
      </c>
      <c r="B32" s="10" t="inlineStr">
        <is>
          <t>JTEKT CORP</t>
        </is>
      </c>
      <c r="C32" s="11" t="n">
        <v>1</v>
      </c>
      <c r="D32" s="11" t="inlineStr">
        <is>
          <t>FY Mar2025</t>
        </is>
      </c>
      <c r="E32" s="12" t="n">
        <v>10184000000</v>
      </c>
      <c r="F32" s="12" t="n">
        <v>737000000</v>
      </c>
      <c r="G32" s="12" t="n">
        <v>456000000</v>
      </c>
      <c r="H32" s="13">
        <f>IF(OR(E32="",F32=""),"",F32/E32)</f>
        <v/>
      </c>
      <c r="I32" s="13">
        <f>IF(OR(E32="",G32=""),"",G32/E32)</f>
        <v/>
      </c>
      <c r="J32" s="13">
        <f>IF(OR(H32="",I32=""),"",H32+I32)</f>
        <v/>
      </c>
      <c r="K32" s="14" t="inlineStr">
        <is>
          <t>Toyota, General Motors</t>
        </is>
      </c>
      <c r="L32" s="14" t="inlineStr">
        <is>
          <t>Electric power steering systems, column-type EPS, wheel-end bearings</t>
        </is>
      </c>
      <c r="M32" s="11" t="inlineStr">
        <is>
          <t>FY Mar2025</t>
        </is>
      </c>
      <c r="N32" s="14" t="inlineStr">
        <is>
          <t>JTEKT FY2024 Annual Report (JPY ~1.52T)</t>
        </is>
      </c>
    </row>
    <row r="33">
      <c r="A33" s="3" t="n">
        <v>690553763</v>
      </c>
      <c r="B33" s="4" t="inlineStr">
        <is>
          <t>FURUKAWA ELECTRIC CO LTD</t>
        </is>
      </c>
      <c r="C33" s="5" t="n">
        <v>1</v>
      </c>
      <c r="D33" s="5" t="inlineStr">
        <is>
          <t>FY Mar2025</t>
        </is>
      </c>
      <c r="E33" s="6" t="n">
        <v>10100000000</v>
      </c>
      <c r="F33" s="6" t="n">
        <v>540000000</v>
      </c>
      <c r="G33" s="6" t="n">
        <v>320000000</v>
      </c>
      <c r="H33" s="7">
        <f>IF(OR(E33="",F33=""),"",F33/E33)</f>
        <v/>
      </c>
      <c r="I33" s="7">
        <f>IF(OR(E33="",G33=""),"",G33/E33)</f>
        <v/>
      </c>
      <c r="J33" s="7">
        <f>IF(OR(H33="",I33=""),"",H33+I33)</f>
        <v/>
      </c>
      <c r="K33" s="8" t="inlineStr">
        <is>
          <t>General Motors, Ford, Stellantis, BYD, Toyota, Honda</t>
        </is>
      </c>
      <c r="L33" s="8" t="inlineStr">
        <is>
          <t>Wiring harnesses, fiber optic cables, copper products, EV components</t>
        </is>
      </c>
      <c r="M33" s="5" t="inlineStr">
        <is>
          <t>FY Mar2025</t>
        </is>
      </c>
      <c r="N33" s="8" t="inlineStr">
        <is>
          <t>Furukawa Electric FY2024 Annual Report (JPY ~1.5T)</t>
        </is>
      </c>
    </row>
    <row r="34">
      <c r="A34" s="9" t="n">
        <v>281213280</v>
      </c>
      <c r="B34" s="10" t="inlineStr">
        <is>
          <t>BURELLE</t>
        </is>
      </c>
      <c r="C34" s="11" t="n">
        <v>1</v>
      </c>
      <c r="D34" s="11" t="inlineStr">
        <is>
          <t>FY2024</t>
        </is>
      </c>
      <c r="E34" s="12" t="n">
        <v>9936000000</v>
      </c>
      <c r="F34" s="12" t="n">
        <v>414000000</v>
      </c>
      <c r="G34" s="12" t="n">
        <v>230000000</v>
      </c>
      <c r="H34" s="13">
        <f>IF(OR(E34="",F34=""),"",F34/E34)</f>
        <v/>
      </c>
      <c r="I34" s="13">
        <f>IF(OR(E34="",G34=""),"",G34/E34)</f>
        <v/>
      </c>
      <c r="J34" s="13">
        <f>IF(OR(H34="",I34=""),"",H34+I34)</f>
        <v/>
      </c>
      <c r="K34" s="14" t="inlineStr">
        <is>
          <t>Volkswagen, Audi, BMW, Mercedes, Stellantis, Renault</t>
        </is>
      </c>
      <c r="L34" s="14" t="inlineStr">
        <is>
          <t>Bumper fascia, body panels, fuel systems, hydrogen storage modules (Plastic Omnium)</t>
        </is>
      </c>
      <c r="M34" s="11" t="inlineStr">
        <is>
          <t>FY2024</t>
        </is>
      </c>
      <c r="N34" s="14" t="inlineStr">
        <is>
          <t>Burelle/Plastic Omnium 2024 Annual Results (EUR ~€9.2B)</t>
        </is>
      </c>
    </row>
    <row r="35">
      <c r="A35" s="3" t="n">
        <v>4175550</v>
      </c>
      <c r="B35" s="4" t="inlineStr">
        <is>
          <t>PARKER-HANNIFIN CORPORATION</t>
        </is>
      </c>
      <c r="C35" s="5" t="n">
        <v>1</v>
      </c>
      <c r="D35" s="5" t="inlineStr">
        <is>
          <t>Q2 2026</t>
        </is>
      </c>
      <c r="E35" s="6" t="n">
        <v>9647000000</v>
      </c>
      <c r="F35" s="6" t="n">
        <v>1631000000</v>
      </c>
      <c r="G35" s="6" t="n">
        <v>2050000000</v>
      </c>
      <c r="H35" s="7">
        <f>IF(OR(E35="",F35=""),"",F35/E35)</f>
        <v/>
      </c>
      <c r="I35" s="7">
        <f>IF(OR(E35="",G35=""),"",G35/E35)</f>
        <v/>
      </c>
      <c r="J35" s="7">
        <f>IF(OR(H35="",I35=""),"",H35+I35)</f>
        <v/>
      </c>
      <c r="K35" s="8" t="inlineStr">
        <is>
          <t>General Motors, Ford, Volkswagen, Hyundai, Stellantis</t>
        </is>
      </c>
      <c r="L35" s="8" t="inlineStr">
        <is>
          <t>Fluid connectors, hydraulic systems, filtration, thermal management, sealing</t>
        </is>
      </c>
      <c r="M35" s="5" t="inlineStr">
        <is>
          <t>Q2 2026</t>
        </is>
      </c>
      <c r="N35" s="8" t="inlineStr">
        <is>
          <t>SEC 10-Q</t>
        </is>
      </c>
    </row>
    <row r="36">
      <c r="A36" s="9" t="n">
        <v>340502442</v>
      </c>
      <c r="B36" s="10" t="inlineStr">
        <is>
          <t>THYSSENKRUPP AG</t>
        </is>
      </c>
      <c r="C36" s="11" t="n">
        <v>1</v>
      </c>
      <c r="D36" s="11" t="inlineStr">
        <is>
          <t>Q4 2025</t>
        </is>
      </c>
      <c r="E36" s="12" t="n">
        <v>8234956652</v>
      </c>
      <c r="F36" s="12" t="n">
        <v>1210315132</v>
      </c>
      <c r="G36" s="12" t="n">
        <v>-505444103</v>
      </c>
      <c r="H36" s="13">
        <f>IF(OR(E36="",F36=""),"",F36/E36)</f>
        <v/>
      </c>
      <c r="I36" s="13">
        <f>IF(OR(E36="",G36=""),"",G36/E36)</f>
        <v/>
      </c>
      <c r="J36" s="13">
        <f>IF(OR(H36="",I36=""),"",H36+I36)</f>
        <v/>
      </c>
      <c r="K36" s="14" t="inlineStr">
        <is>
          <t>Mercedes, BMW, Audi, Tesla</t>
        </is>
      </c>
      <c r="L36" s="14" t="inlineStr">
        <is>
          <t>Automotive steel, springs, stabilizer bars, steering systems, camshafts</t>
        </is>
      </c>
      <c r="M36" s="11" t="inlineStr">
        <is>
          <t>Q4 2025</t>
        </is>
      </c>
      <c r="N36" s="14" t="inlineStr">
        <is>
          <t>Yahoo Finance (TKA.DE)</t>
        </is>
      </c>
    </row>
    <row r="37">
      <c r="A37" s="3" t="n">
        <v>76854327</v>
      </c>
      <c r="B37" s="4" t="inlineStr">
        <is>
          <t>AUTOLIV INC</t>
        </is>
      </c>
      <c r="C37" s="5" t="n">
        <v>1</v>
      </c>
      <c r="D37" s="5" t="inlineStr">
        <is>
          <t>Q3 2025</t>
        </is>
      </c>
      <c r="E37" s="6" t="n">
        <v>7774000000</v>
      </c>
      <c r="F37" s="6" t="n">
        <v>399000000</v>
      </c>
      <c r="G37" s="6" t="n">
        <v>626000000</v>
      </c>
      <c r="H37" s="7">
        <f>IF(OR(E37="",F37=""),"",F37/E37)</f>
        <v/>
      </c>
      <c r="I37" s="7">
        <f>IF(OR(E37="",G37=""),"",G37/E37)</f>
        <v/>
      </c>
      <c r="J37" s="7">
        <f>IF(OR(H37="",I37=""),"",H37+I37)</f>
        <v/>
      </c>
      <c r="K37" s="8" t="inlineStr">
        <is>
          <t>Hyundai, Honda, Toyota, Stellantis, Volkswagen, Mercedes</t>
        </is>
      </c>
      <c r="L37" s="8" t="inlineStr">
        <is>
          <t>Airbags, seatbelts, steering wheels, pretensioners, pedestrian protection systems</t>
        </is>
      </c>
      <c r="M37" s="5" t="inlineStr">
        <is>
          <t>Q3 2025</t>
        </is>
      </c>
      <c r="N37" s="8" t="inlineStr">
        <is>
          <t>SEC 10-Q</t>
        </is>
      </c>
    </row>
    <row r="38">
      <c r="A38" s="9" t="n">
        <v>688279996</v>
      </c>
      <c r="B38" s="10" t="inlineStr">
        <is>
          <t>LG CHEM LTD</t>
        </is>
      </c>
      <c r="C38" s="11" t="n">
        <v>1</v>
      </c>
      <c r="D38" s="11" t="inlineStr">
        <is>
          <t>Q4 2025</t>
        </is>
      </c>
      <c r="E38" s="12" t="n">
        <v>7421759380</v>
      </c>
      <c r="F38" s="12" t="n">
        <v>844151561</v>
      </c>
      <c r="G38" s="12" t="n">
        <v>-273922413</v>
      </c>
      <c r="H38" s="13">
        <f>IF(OR(E38="",F38=""),"",F38/E38)</f>
        <v/>
      </c>
      <c r="I38" s="13">
        <f>IF(OR(E38="",G38=""),"",G38/E38)</f>
        <v/>
      </c>
      <c r="J38" s="13">
        <f>IF(OR(H38="",I38=""),"",H38+I38)</f>
        <v/>
      </c>
      <c r="K38" s="14" t="inlineStr">
        <is>
          <t>General Motors, Toyota, Tesla</t>
        </is>
      </c>
      <c r="L38" s="14" t="inlineStr">
        <is>
          <t>EV battery cells, battery modules, battery packs, cathode materials</t>
        </is>
      </c>
      <c r="M38" s="11" t="inlineStr">
        <is>
          <t>Q4 2025</t>
        </is>
      </c>
      <c r="N38" s="14" t="inlineStr">
        <is>
          <t>Yahoo Finance (051910.KS)</t>
        </is>
      </c>
    </row>
    <row r="39">
      <c r="A39" s="3" t="n">
        <v>41810979</v>
      </c>
      <c r="B39" s="4" t="inlineStr">
        <is>
          <t>JABIL CIRCUIT CO</t>
        </is>
      </c>
      <c r="C39" s="5" t="n">
        <v>1</v>
      </c>
      <c r="D39" s="5" t="inlineStr">
        <is>
          <t>Q1 2026</t>
        </is>
      </c>
      <c r="E39" s="6" t="n">
        <v>6994000000</v>
      </c>
      <c r="F39" s="6" t="n">
        <v>305000000</v>
      </c>
      <c r="G39" s="6" t="n">
        <v>197000000</v>
      </c>
      <c r="H39" s="7">
        <f>IF(OR(E39="",F39=""),"",F39/E39)</f>
        <v/>
      </c>
      <c r="I39" s="7">
        <f>IF(OR(E39="",G39=""),"",G39/E39)</f>
        <v/>
      </c>
      <c r="J39" s="7">
        <f>IF(OR(H39="",I39=""),"",H39+I39)</f>
        <v/>
      </c>
      <c r="K39" s="8" t="inlineStr">
        <is>
          <t>Ford, General Motors, Toyota, Honda, Hyundai</t>
        </is>
      </c>
      <c r="L39" s="8" t="inlineStr">
        <is>
          <t>Automotive electronics manufacturing, EV power modules, connectors</t>
        </is>
      </c>
      <c r="M39" s="5" t="inlineStr">
        <is>
          <t>Q1 2026</t>
        </is>
      </c>
      <c r="N39" s="8" t="inlineStr">
        <is>
          <t>SEC 10-Q</t>
        </is>
      </c>
    </row>
    <row r="40">
      <c r="A40" s="9" t="n">
        <v>809105351</v>
      </c>
      <c r="B40" s="10" t="inlineStr">
        <is>
          <t>DANA INC</t>
        </is>
      </c>
      <c r="C40" s="11" t="n">
        <v>1</v>
      </c>
      <c r="D40" s="11" t="inlineStr">
        <is>
          <t>Q3 2025</t>
        </is>
      </c>
      <c r="E40" s="12" t="n">
        <v>5960000000</v>
      </c>
      <c r="F40" s="12" t="n">
        <v>328000000</v>
      </c>
      <c r="G40" s="12" t="n">
        <v>-59000000</v>
      </c>
      <c r="H40" s="13">
        <f>IF(OR(E40="",F40=""),"",F40/E40)</f>
        <v/>
      </c>
      <c r="I40" s="13">
        <f>IF(OR(E40="",G40=""),"",G40/E40)</f>
        <v/>
      </c>
      <c r="J40" s="13">
        <f>IF(OR(H40="",I40=""),"",H40+I40)</f>
        <v/>
      </c>
      <c r="K40" s="14" t="inlineStr">
        <is>
          <t>Ford, Stellantis, Toyota</t>
        </is>
      </c>
      <c r="L40" s="14" t="inlineStr">
        <is>
          <t>Driveshafts, axles, electric drive units, thermal management, sealing solutions</t>
        </is>
      </c>
      <c r="M40" s="11" t="inlineStr">
        <is>
          <t>Q3 2025</t>
        </is>
      </c>
      <c r="N40" s="14" t="inlineStr">
        <is>
          <t>SEC 10-Q</t>
        </is>
      </c>
    </row>
    <row r="41">
      <c r="A41" s="3" t="n">
        <v>44766678</v>
      </c>
      <c r="B41" s="4" t="inlineStr">
        <is>
          <t>AMERICAN AXLE &amp; MANUFACTURING</t>
        </is>
      </c>
      <c r="C41" s="5" t="n">
        <v>1</v>
      </c>
      <c r="D41" s="5" t="inlineStr">
        <is>
          <t>FY2024</t>
        </is>
      </c>
      <c r="E41" s="6" t="n">
        <v>5698000000</v>
      </c>
      <c r="F41" s="6" t="n">
        <v>198000000</v>
      </c>
      <c r="G41" s="6" t="n">
        <v>143000000</v>
      </c>
      <c r="H41" s="7">
        <f>IF(OR(E41="",F41=""),"",F41/E41)</f>
        <v/>
      </c>
      <c r="I41" s="7">
        <f>IF(OR(E41="",G41=""),"",G41/E41)</f>
        <v/>
      </c>
      <c r="J41" s="7">
        <f>IF(OR(H41="",I41=""),"",H41+I41)</f>
        <v/>
      </c>
      <c r="K41" s="8" t="inlineStr">
        <is>
          <t>General Motors, Ford, Stellantis</t>
        </is>
      </c>
      <c r="L41" s="8" t="inlineStr">
        <is>
          <t>Driveshafts, axles, driveline modules, EV electric drive units</t>
        </is>
      </c>
      <c r="M41" s="5" t="inlineStr">
        <is>
          <t>FY2024</t>
        </is>
      </c>
      <c r="N41" s="8" t="inlineStr">
        <is>
          <t>AAM 2024 10-K</t>
        </is>
      </c>
    </row>
    <row r="42">
      <c r="A42" s="9" t="n">
        <v>688250455</v>
      </c>
      <c r="B42" s="10" t="inlineStr">
        <is>
          <t>HL MANDO CORPORATION</t>
        </is>
      </c>
      <c r="C42" s="11" t="n">
        <v>1</v>
      </c>
      <c r="D42" s="11" t="inlineStr">
        <is>
          <t>FY2024</t>
        </is>
      </c>
      <c r="E42" s="12" t="n">
        <v>5694000000</v>
      </c>
      <c r="F42" s="12" t="n">
        <v>329000000</v>
      </c>
      <c r="G42" s="12" t="n">
        <v>153000000</v>
      </c>
      <c r="H42" s="13">
        <f>IF(OR(E42="",F42=""),"",F42/E42)</f>
        <v/>
      </c>
      <c r="I42" s="13">
        <f>IF(OR(E42="",G42=""),"",G42/E42)</f>
        <v/>
      </c>
      <c r="J42" s="13">
        <f>IF(OR(H42="",I42=""),"",H42+I42)</f>
        <v/>
      </c>
      <c r="K42" s="14" t="inlineStr">
        <is>
          <t>General Motors, Hyundai, Kia, Ford, Nissan, Chrysler</t>
        </is>
      </c>
      <c r="L42" s="14" t="inlineStr">
        <is>
          <t>Brakes, steering systems, suspension, ADAS, electronic control units</t>
        </is>
      </c>
      <c r="M42" s="11" t="inlineStr">
        <is>
          <t>FY2024</t>
        </is>
      </c>
      <c r="N42" s="14" t="inlineStr">
        <is>
          <t>HL Mando 2024 Annual Report (KRW ~7.8T)</t>
        </is>
      </c>
    </row>
    <row r="43">
      <c r="A43" s="3" t="n">
        <v>544091510</v>
      </c>
      <c r="B43" s="4" t="inlineStr">
        <is>
          <t>PRYSMIAN SPA</t>
        </is>
      </c>
      <c r="C43" s="5" t="n">
        <v>1</v>
      </c>
      <c r="D43" s="5" t="inlineStr">
        <is>
          <t>Q4 2025</t>
        </is>
      </c>
      <c r="E43" s="6" t="n">
        <v>5691690290</v>
      </c>
      <c r="F43" s="6" t="n"/>
      <c r="G43" s="6" t="n">
        <v>406876773</v>
      </c>
      <c r="H43" s="7">
        <f>IF(OR(E43="",F43=""),"",F43/E43)</f>
        <v/>
      </c>
      <c r="I43" s="7">
        <f>IF(OR(E43="",G43=""),"",G43/E43)</f>
        <v/>
      </c>
      <c r="J43" s="7">
        <f>IF(OR(H43="",I43=""),"",H43+I43)</f>
        <v/>
      </c>
      <c r="K43" s="8" t="inlineStr">
        <is>
          <t>Ford, Toyota, Stellantis, General Motors, Volkswagen</t>
        </is>
      </c>
      <c r="L43" s="8" t="inlineStr">
        <is>
          <t>High-voltage EV cables, automotive wiring, charging cables</t>
        </is>
      </c>
      <c r="M43" s="5" t="inlineStr">
        <is>
          <t>Q4 2025</t>
        </is>
      </c>
      <c r="N43" s="8" t="inlineStr">
        <is>
          <t>Yahoo Finance (PRY.MI)</t>
        </is>
      </c>
    </row>
    <row r="44">
      <c r="A44" s="9" t="n">
        <v>315674267</v>
      </c>
      <c r="B44" s="10" t="inlineStr">
        <is>
          <t>CONTINENTAL AKTIENGESELLSCHAFT</t>
        </is>
      </c>
      <c r="C44" s="11" t="n">
        <v>1</v>
      </c>
      <c r="D44" s="11" t="inlineStr">
        <is>
          <t>Q4 2025</t>
        </is>
      </c>
      <c r="E44" s="12" t="n">
        <v>5690544158</v>
      </c>
      <c r="F44" s="12" t="n">
        <v>942120302</v>
      </c>
      <c r="G44" s="12" t="n">
        <v>335816604</v>
      </c>
      <c r="H44" s="13">
        <f>IF(OR(E44="",F44=""),"",F44/E44)</f>
        <v/>
      </c>
      <c r="I44" s="13">
        <f>IF(OR(E44="",G44=""),"",G44/E44)</f>
        <v/>
      </c>
      <c r="J44" s="13">
        <f>IF(OR(H44="",I44=""),"",H44+I44)</f>
        <v/>
      </c>
      <c r="K44" s="14" t="inlineStr">
        <is>
          <t>Volkswagen, Mercedes, BMW, Tesla, Stellantis, General Motors</t>
        </is>
      </c>
      <c r="L44" s="14" t="inlineStr">
        <is>
          <t>Tires, brakes, powertrain electronics, ADAS sensors, instrument clusters, CVT belts</t>
        </is>
      </c>
      <c r="M44" s="11" t="inlineStr">
        <is>
          <t>Q4 2025</t>
        </is>
      </c>
      <c r="N44" s="14" t="inlineStr">
        <is>
          <t>Yahoo Finance (CON.DE)</t>
        </is>
      </c>
    </row>
    <row r="45">
      <c r="A45" s="3" t="n">
        <v>690555925</v>
      </c>
      <c r="B45" s="4" t="inlineStr">
        <is>
          <t>NIPPON SHEET GLASS CO LTD</t>
        </is>
      </c>
      <c r="C45" s="5" t="n">
        <v>1</v>
      </c>
      <c r="D45" s="5" t="inlineStr">
        <is>
          <t>FY Mar2025</t>
        </is>
      </c>
      <c r="E45" s="6" t="n">
        <v>5100000000</v>
      </c>
      <c r="F45" s="6" t="n">
        <v>310000000</v>
      </c>
      <c r="G45" s="6" t="n">
        <v>240000000</v>
      </c>
      <c r="H45" s="7">
        <f>IF(OR(E45="",F45=""),"",F45/E45)</f>
        <v/>
      </c>
      <c r="I45" s="7">
        <f>IF(OR(E45="",G45=""),"",G45/E45)</f>
        <v/>
      </c>
      <c r="J45" s="7">
        <f>IF(OR(H45="",I45=""),"",H45+I45)</f>
        <v/>
      </c>
      <c r="K45" s="8" t="inlineStr">
        <is>
          <t>Toyota, Honda, Volkswagen, Nissan, General Motors</t>
        </is>
      </c>
      <c r="L45" s="8" t="inlineStr">
        <is>
          <t>Automotive laminated glass, tempered glass, solar-control glass</t>
        </is>
      </c>
      <c r="M45" s="5" t="inlineStr">
        <is>
          <t>FY Mar2025</t>
        </is>
      </c>
      <c r="N45" s="8" t="inlineStr">
        <is>
          <t>NSG FY2024 Annual Report (JPY ~760B)</t>
        </is>
      </c>
    </row>
    <row r="46">
      <c r="A46" s="9" t="n">
        <v>343056307</v>
      </c>
      <c r="B46" s="10" t="inlineStr">
        <is>
          <t>VITESCO TECHNOLOGIES GROUP AG</t>
        </is>
      </c>
      <c r="C46" s="11" t="n">
        <v>1</v>
      </c>
      <c r="D46" s="11" t="inlineStr">
        <is>
          <t>FY2023</t>
        </is>
      </c>
      <c r="E46" s="12" t="n">
        <v>4212000000</v>
      </c>
      <c r="F46" s="12" t="n">
        <v>190000000</v>
      </c>
      <c r="G46" s="12" t="n">
        <v>82000000</v>
      </c>
      <c r="H46" s="13">
        <f>IF(OR(E46="",F46=""),"",F46/E46)</f>
        <v/>
      </c>
      <c r="I46" s="13">
        <f>IF(OR(E46="",G46=""),"",G46/E46)</f>
        <v/>
      </c>
      <c r="J46" s="13">
        <f>IF(OR(H46="",I46=""),"",H46+I46)</f>
        <v/>
      </c>
      <c r="K46" s="14" t="inlineStr">
        <is>
          <t>Volkswagen, Hyundai, Renault, Ford, General Motors</t>
        </is>
      </c>
      <c r="L46" s="14" t="inlineStr">
        <is>
          <t>EV power electronics, e-axle drive systems, emission control, battery management</t>
        </is>
      </c>
      <c r="M46" s="11" t="inlineStr">
        <is>
          <t>FY2023</t>
        </is>
      </c>
      <c r="N46" s="14" t="inlineStr">
        <is>
          <t>Vitesco FY2023 (acquired by Schaeffler Nov 2024, last full year)</t>
        </is>
      </c>
    </row>
    <row r="47">
      <c r="A47" s="3" t="n">
        <v>812278687</v>
      </c>
      <c r="B47" s="4" t="inlineStr">
        <is>
          <t>ALFA SAB DE CV</t>
        </is>
      </c>
      <c r="C47" s="5" t="n">
        <v>1</v>
      </c>
      <c r="D47" s="5" t="inlineStr">
        <is>
          <t>FY2024</t>
        </is>
      </c>
      <c r="E47" s="6" t="n">
        <v>4200000000</v>
      </c>
      <c r="F47" s="6" t="n">
        <v>168000000</v>
      </c>
      <c r="G47" s="6" t="n">
        <v>190000000</v>
      </c>
      <c r="H47" s="7">
        <f>IF(OR(E47="",F47=""),"",F47/E47)</f>
        <v/>
      </c>
      <c r="I47" s="7">
        <f>IF(OR(E47="",G47=""),"",G47/E47)</f>
        <v/>
      </c>
      <c r="J47" s="7">
        <f>IF(OR(H47="",I47=""),"",H47+I47)</f>
        <v/>
      </c>
      <c r="K47" s="8" t="inlineStr">
        <is>
          <t>General Motors, Ford, Stellantis, BMW, Mercedes</t>
        </is>
      </c>
      <c r="L47" s="8" t="inlineStr">
        <is>
          <t>Aluminum cylinder heads, engine blocks, EV battery housings, aluminum castings (Nemak)</t>
        </is>
      </c>
      <c r="M47" s="5" t="inlineStr">
        <is>
          <t>FY2024</t>
        </is>
      </c>
      <c r="N47" s="8" t="inlineStr">
        <is>
          <t>Nemak FY2024 Annual Report</t>
        </is>
      </c>
    </row>
    <row r="48">
      <c r="A48" s="9" t="n">
        <v>690635255</v>
      </c>
      <c r="B48" s="10" t="inlineStr">
        <is>
          <t>NIDEC CORP</t>
        </is>
      </c>
      <c r="C48" s="11" t="n">
        <v>1</v>
      </c>
      <c r="D48" s="11" t="inlineStr">
        <is>
          <t>Q3 2024</t>
        </is>
      </c>
      <c r="E48" s="12" t="n">
        <v>4040786847</v>
      </c>
      <c r="F48" s="12" t="n">
        <v>324060284</v>
      </c>
      <c r="G48" s="12" t="n">
        <v>380149206</v>
      </c>
      <c r="H48" s="13">
        <f>IF(OR(E48="",F48=""),"",F48/E48)</f>
        <v/>
      </c>
      <c r="I48" s="13">
        <f>IF(OR(E48="",G48=""),"",G48/E48)</f>
        <v/>
      </c>
      <c r="J48" s="13">
        <f>IF(OR(H48="",I48=""),"",H48+I48)</f>
        <v/>
      </c>
      <c r="K48" s="14" t="inlineStr">
        <is>
          <t>Toyota, Honda, Stellantis, General Motors, Ford</t>
        </is>
      </c>
      <c r="L48" s="14" t="inlineStr">
        <is>
          <t>EV traction motors, e-axles, EPS motors, blower motors, precision motors</t>
        </is>
      </c>
      <c r="M48" s="11" t="inlineStr">
        <is>
          <t>Q3 2024</t>
        </is>
      </c>
      <c r="N48" s="14" t="inlineStr">
        <is>
          <t>Yahoo Finance (6594.T)</t>
        </is>
      </c>
    </row>
    <row r="49">
      <c r="A49" s="3" t="n">
        <v>485203835</v>
      </c>
      <c r="B49" s="4" t="inlineStr">
        <is>
          <t>TE CONNECTIVITY LTD</t>
        </is>
      </c>
      <c r="C49" s="5" t="n">
        <v>1</v>
      </c>
      <c r="D49" s="5" t="inlineStr">
        <is>
          <t>Q1 2026</t>
        </is>
      </c>
      <c r="E49" s="6" t="n">
        <v>3836000000</v>
      </c>
      <c r="F49" s="6" t="n">
        <v>427000000</v>
      </c>
      <c r="G49" s="6" t="n">
        <v>690000000</v>
      </c>
      <c r="H49" s="7">
        <f>IF(OR(E49="",F49=""),"",F49/E49)</f>
        <v/>
      </c>
      <c r="I49" s="7">
        <f>IF(OR(E49="",G49=""),"",G49/E49)</f>
        <v/>
      </c>
      <c r="J49" s="7">
        <f>IF(OR(H49="",I49=""),"",H49+I49)</f>
        <v/>
      </c>
      <c r="K49" s="8" t="inlineStr">
        <is>
          <t>General Motors, BMW, Ford, Toyota, Tesla, Volkswagen</t>
        </is>
      </c>
      <c r="L49" s="8" t="inlineStr">
        <is>
          <t>EV connectors, high-voltage harness connectors, relays, sensors, antennae</t>
        </is>
      </c>
      <c r="M49" s="5" t="inlineStr">
        <is>
          <t>Q1 2026</t>
        </is>
      </c>
      <c r="N49" s="8" t="inlineStr">
        <is>
          <t>SEC 10-Q</t>
        </is>
      </c>
    </row>
    <row r="50">
      <c r="A50" s="9" t="n">
        <v>864421750</v>
      </c>
      <c r="B50" s="10" t="inlineStr">
        <is>
          <t>NEXTEER AUTOMOTIVE GROUP LTD</t>
        </is>
      </c>
      <c r="C50" s="11" t="n">
        <v>1</v>
      </c>
      <c r="D50" s="11" t="inlineStr">
        <is>
          <t>FY2024</t>
        </is>
      </c>
      <c r="E50" s="12" t="n">
        <v>3800000000</v>
      </c>
      <c r="F50" s="12" t="n">
        <v>130000000</v>
      </c>
      <c r="G50" s="12" t="n">
        <v>165000000</v>
      </c>
      <c r="H50" s="13">
        <f>IF(OR(E50="",F50=""),"",F50/E50)</f>
        <v/>
      </c>
      <c r="I50" s="13">
        <f>IF(OR(E50="",G50=""),"",G50/E50)</f>
        <v/>
      </c>
      <c r="J50" s="13">
        <f>IF(OR(H50="",I50=""),"",H50+I50)</f>
        <v/>
      </c>
      <c r="K50" s="14" t="inlineStr">
        <is>
          <t>General Motors, Ford, Stellantis, BMW, Volkswagen</t>
        </is>
      </c>
      <c r="L50" s="14" t="inlineStr">
        <is>
          <t>Electric power steering systems, rack &amp; pinion assemblies, driveshafts, steering columns</t>
        </is>
      </c>
      <c r="M50" s="11" t="inlineStr">
        <is>
          <t>FY2024</t>
        </is>
      </c>
      <c r="N50" s="14" t="inlineStr">
        <is>
          <t>Nexteer 2024 Annual Report</t>
        </is>
      </c>
    </row>
    <row r="51">
      <c r="A51" s="3" t="n">
        <v>690553888</v>
      </c>
      <c r="B51" s="4" t="inlineStr">
        <is>
          <t>AGC INC</t>
        </is>
      </c>
      <c r="C51" s="5" t="n">
        <v>1</v>
      </c>
      <c r="D51" s="5" t="inlineStr">
        <is>
          <t>Q2 2024</t>
        </is>
      </c>
      <c r="E51" s="6" t="n">
        <v>3232247708</v>
      </c>
      <c r="F51" s="6" t="n">
        <v>582431066</v>
      </c>
      <c r="G51" s="6" t="n">
        <v>200266615</v>
      </c>
      <c r="H51" s="7">
        <f>IF(OR(E51="",F51=""),"",F51/E51)</f>
        <v/>
      </c>
      <c r="I51" s="7">
        <f>IF(OR(E51="",G51=""),"",G51/E51)</f>
        <v/>
      </c>
      <c r="J51" s="7">
        <f>IF(OR(H51="",I51=""),"",H51+I51)</f>
        <v/>
      </c>
      <c r="K51" s="8" t="inlineStr">
        <is>
          <t>BMW, Volkswagen, Mercedes, General Motors, Tesla</t>
        </is>
      </c>
      <c r="L51" s="8" t="inlineStr">
        <is>
          <t>Windshields, side glass, HUD glass, acoustic laminated glass</t>
        </is>
      </c>
      <c r="M51" s="5" t="inlineStr">
        <is>
          <t>Q2 2024</t>
        </is>
      </c>
      <c r="N51" s="8" t="inlineStr">
        <is>
          <t>Yahoo Finance (5201.T)</t>
        </is>
      </c>
    </row>
    <row r="52">
      <c r="A52" s="9" t="n">
        <v>223144058</v>
      </c>
      <c r="B52" s="10" t="inlineStr">
        <is>
          <t>SENSATA TECHNOLOGIES HOLDING PLC</t>
        </is>
      </c>
      <c r="C52" s="11" t="n">
        <v>1</v>
      </c>
      <c r="D52" s="11" t="inlineStr">
        <is>
          <t>Q3 2025</t>
        </is>
      </c>
      <c r="E52" s="12" t="n">
        <v>3025074000</v>
      </c>
      <c r="F52" s="12" t="n">
        <v>283772000</v>
      </c>
      <c r="G52" s="12" t="n">
        <v>75512000</v>
      </c>
      <c r="H52" s="13">
        <f>IF(OR(E52="",F52=""),"",F52/E52)</f>
        <v/>
      </c>
      <c r="I52" s="13">
        <f>IF(OR(E52="",G52=""),"",G52/E52)</f>
        <v/>
      </c>
      <c r="J52" s="13">
        <f>IF(OR(H52="",I52=""),"",H52+I52)</f>
        <v/>
      </c>
      <c r="K52" s="14" t="inlineStr">
        <is>
          <t>Tesla, General Motors, Ford, Volkswagen, Volvo</t>
        </is>
      </c>
      <c r="L52" s="14" t="inlineStr">
        <is>
          <t>Pressure sensors, temperature sensors, position sensors, EV battery sensors</t>
        </is>
      </c>
      <c r="M52" s="11" t="inlineStr">
        <is>
          <t>Q3 2025</t>
        </is>
      </c>
      <c r="N52" s="14" t="inlineStr">
        <is>
          <t>SEC 10-Q</t>
        </is>
      </c>
    </row>
    <row r="53">
      <c r="A53" s="3" t="n">
        <v>183727804</v>
      </c>
      <c r="B53" s="4" t="inlineStr">
        <is>
          <t>VISTEON CORP</t>
        </is>
      </c>
      <c r="C53" s="5" t="n">
        <v>1</v>
      </c>
      <c r="D53" s="5" t="inlineStr">
        <is>
          <t>Q3 2025</t>
        </is>
      </c>
      <c r="E53" s="6" t="n">
        <v>2927000000</v>
      </c>
      <c r="F53" s="6" t="n">
        <v>152000000</v>
      </c>
      <c r="G53" s="6" t="n"/>
      <c r="H53" s="7">
        <f>IF(OR(E53="",F53=""),"",F53/E53)</f>
        <v/>
      </c>
      <c r="I53" s="7">
        <f>IF(OR(E53="",G53=""),"",G53/E53)</f>
        <v/>
      </c>
      <c r="J53" s="7">
        <f>IF(OR(H53="",I53=""),"",H53+I53)</f>
        <v/>
      </c>
      <c r="K53" s="8" t="inlineStr">
        <is>
          <t>General Motors, Ford, Stellantis, Hyundai, Kia, Nissan</t>
        </is>
      </c>
      <c r="L53" s="8" t="inlineStr">
        <is>
          <t>Digital instrument clusters, infotainment head units, connected car systems</t>
        </is>
      </c>
      <c r="M53" s="5" t="inlineStr">
        <is>
          <t>Q3 2025</t>
        </is>
      </c>
      <c r="N53" s="8" t="inlineStr">
        <is>
          <t>SEC 10-Q</t>
        </is>
      </c>
    </row>
    <row r="54">
      <c r="A54" s="9" t="n">
        <v>361293918</v>
      </c>
      <c r="B54" s="10" t="inlineStr">
        <is>
          <t>COOPER STANDARD HOLDINGS INC</t>
        </is>
      </c>
      <c r="C54" s="11" t="n">
        <v>1</v>
      </c>
      <c r="D54" s="11" t="inlineStr">
        <is>
          <t>FY2024</t>
        </is>
      </c>
      <c r="E54" s="12" t="n">
        <v>2793000000</v>
      </c>
      <c r="F54" s="12" t="n">
        <v>120000000</v>
      </c>
      <c r="G54" s="12" t="n">
        <v>82000000</v>
      </c>
      <c r="H54" s="13">
        <f>IF(OR(E54="",F54=""),"",F54/E54)</f>
        <v/>
      </c>
      <c r="I54" s="13">
        <f>IF(OR(E54="",G54=""),"",G54/E54)</f>
        <v/>
      </c>
      <c r="J54" s="13">
        <f>IF(OR(H54="",I54=""),"",H54+I54)</f>
        <v/>
      </c>
      <c r="K54" s="14" t="inlineStr">
        <is>
          <t>General Motors, Ford, Stellantis, Volkswagen, Mercedes</t>
        </is>
      </c>
      <c r="L54" s="14" t="inlineStr">
        <is>
          <t>Door &amp; window sealing systems, fuel &amp; brake hoses, fluid transfer systems</t>
        </is>
      </c>
      <c r="M54" s="11" t="inlineStr">
        <is>
          <t>FY2024</t>
        </is>
      </c>
      <c r="N54" s="14" t="inlineStr">
        <is>
          <t>Cooper-Standard 2024 10-K</t>
        </is>
      </c>
    </row>
    <row r="55">
      <c r="A55" s="3" t="n">
        <v>221150144</v>
      </c>
      <c r="B55" s="4" t="inlineStr">
        <is>
          <t>MELROSE INDUSTRIES PLC</t>
        </is>
      </c>
      <c r="C55" s="5" t="n">
        <v>1</v>
      </c>
      <c r="D55" s="5" t="inlineStr">
        <is>
          <t>FY2024</t>
        </is>
      </c>
      <c r="E55" s="6" t="n">
        <v>2667000000</v>
      </c>
      <c r="F55" s="6" t="n">
        <v>96000000</v>
      </c>
      <c r="G55" s="6" t="n">
        <v>243000000</v>
      </c>
      <c r="H55" s="7">
        <f>IF(OR(E55="",F55=""),"",F55/E55)</f>
        <v/>
      </c>
      <c r="I55" s="7">
        <f>IF(OR(E55="",G55=""),"",G55/E55)</f>
        <v/>
      </c>
      <c r="J55" s="7">
        <f>IF(OR(H55="",I55=""),"",H55+I55)</f>
        <v/>
      </c>
      <c r="K55" s="8" t="inlineStr">
        <is>
          <t>BMW, Mercedes, Volkswagen, Toyota</t>
        </is>
      </c>
      <c r="L55" s="8" t="inlineStr">
        <is>
          <t>Driveshafts, sideshafts, eDrive units, powder metal components (GKN Automotive)</t>
        </is>
      </c>
      <c r="M55" s="5" t="inlineStr">
        <is>
          <t>FY2024</t>
        </is>
      </c>
      <c r="N55" s="8" t="inlineStr">
        <is>
          <t>Melrose FY2024 Annual Report (GBP ~£2.1B)</t>
        </is>
      </c>
    </row>
    <row r="56">
      <c r="A56" s="9" t="n">
        <v>81174775</v>
      </c>
      <c r="B56" s="10" t="inlineStr">
        <is>
          <t>GARRETT MOTION INC</t>
        </is>
      </c>
      <c r="C56" s="11" t="n">
        <v>1</v>
      </c>
      <c r="D56" s="11" t="inlineStr">
        <is>
          <t>Q3 2025</t>
        </is>
      </c>
      <c r="E56" s="12" t="n">
        <v>2631000000</v>
      </c>
      <c r="F56" s="12" t="n">
        <v>178000000</v>
      </c>
      <c r="G56" s="12" t="n"/>
      <c r="H56" s="13">
        <f>IF(OR(E56="",F56=""),"",F56/E56)</f>
        <v/>
      </c>
      <c r="I56" s="13">
        <f>IF(OR(E56="",G56=""),"",G56/E56)</f>
        <v/>
      </c>
      <c r="J56" s="13">
        <f>IF(OR(H56="",I56=""),"",H56+I56)</f>
        <v/>
      </c>
      <c r="K56" s="14" t="inlineStr">
        <is>
          <t>Ford, Volkswagen, BMW, Mercedes, Toyota</t>
        </is>
      </c>
      <c r="L56" s="14" t="inlineStr">
        <is>
          <t>Turbochargers, e-turbo systems, electric compressors</t>
        </is>
      </c>
      <c r="M56" s="11" t="inlineStr">
        <is>
          <t>Q3 2025</t>
        </is>
      </c>
      <c r="N56" s="14" t="inlineStr">
        <is>
          <t>SEC 10-Q</t>
        </is>
      </c>
    </row>
    <row r="57">
      <c r="A57" s="3" t="n">
        <v>969132880</v>
      </c>
      <c r="B57" s="4" t="inlineStr">
        <is>
          <t>ALLISON TRANSMISSION HOLDINGS INC</t>
        </is>
      </c>
      <c r="C57" s="5" t="n">
        <v>1</v>
      </c>
      <c r="D57" s="5" t="inlineStr">
        <is>
          <t>Q3 2025</t>
        </is>
      </c>
      <c r="E57" s="6" t="n">
        <v>2429000000</v>
      </c>
      <c r="F57" s="6" t="n">
        <v>253000000</v>
      </c>
      <c r="G57" s="6" t="n">
        <v>757000000</v>
      </c>
      <c r="H57" s="7">
        <f>IF(OR(E57="",F57=""),"",F57/E57)</f>
        <v/>
      </c>
      <c r="I57" s="7">
        <f>IF(OR(E57="",G57=""),"",G57/E57)</f>
        <v/>
      </c>
      <c r="J57" s="7">
        <f>IF(OR(H57="",I57=""),"",H57+I57)</f>
        <v/>
      </c>
      <c r="K57" s="8" t="inlineStr">
        <is>
          <t>Volvo</t>
        </is>
      </c>
      <c r="L57" s="8" t="inlineStr">
        <is>
          <t>Fully-automatic transmissions for medium/heavy trucks and buses</t>
        </is>
      </c>
      <c r="M57" s="5" t="inlineStr">
        <is>
          <t>Q3 2025</t>
        </is>
      </c>
      <c r="N57" s="8" t="inlineStr">
        <is>
          <t>SEC 10-Q</t>
        </is>
      </c>
    </row>
    <row r="58">
      <c r="A58" s="9" t="n">
        <v>353945744</v>
      </c>
      <c r="B58" s="10" t="inlineStr">
        <is>
          <t>AB SKF</t>
        </is>
      </c>
      <c r="C58" s="11" t="n">
        <v>1</v>
      </c>
      <c r="D58" s="11" t="inlineStr">
        <is>
          <t>Q4 2025</t>
        </is>
      </c>
      <c r="E58" s="12" t="n">
        <v>2336481329</v>
      </c>
      <c r="F58" s="12" t="n">
        <v>335545477</v>
      </c>
      <c r="G58" s="12" t="n">
        <v>166230612</v>
      </c>
      <c r="H58" s="13">
        <f>IF(OR(E58="",F58=""),"",F58/E58)</f>
        <v/>
      </c>
      <c r="I58" s="13">
        <f>IF(OR(E58="",G58=""),"",G58/E58)</f>
        <v/>
      </c>
      <c r="J58" s="13">
        <f>IF(OR(H58="",I58=""),"",H58+I58)</f>
        <v/>
      </c>
      <c r="K58" s="14" t="inlineStr">
        <is>
          <t>Volkswagen, BMW, Ford, General Motors</t>
        </is>
      </c>
      <c r="L58" s="14" t="inlineStr">
        <is>
          <t>Wheel-end bearings, hub bearing units, seals, electric motor bearings</t>
        </is>
      </c>
      <c r="M58" s="11" t="inlineStr">
        <is>
          <t>Q4 2025</t>
        </is>
      </c>
      <c r="N58" s="14" t="inlineStr">
        <is>
          <t>Yahoo Finance (SKF-B.ST)</t>
        </is>
      </c>
    </row>
    <row r="59">
      <c r="A59" s="3" t="n">
        <v>436854350</v>
      </c>
      <c r="B59" s="4" t="inlineStr">
        <is>
          <t>PIRELLI &amp; CO SPA</t>
        </is>
      </c>
      <c r="C59" s="5" t="n">
        <v>1</v>
      </c>
      <c r="D59" s="5" t="inlineStr">
        <is>
          <t>Q3 2025</t>
        </is>
      </c>
      <c r="E59" s="6" t="n">
        <v>1944548910</v>
      </c>
      <c r="F59" s="6" t="n"/>
      <c r="G59" s="6" t="n">
        <v>102448133</v>
      </c>
      <c r="H59" s="7">
        <f>IF(OR(E59="",F59=""),"",F59/E59)</f>
        <v/>
      </c>
      <c r="I59" s="7">
        <f>IF(OR(E59="",G59=""),"",G59/E59)</f>
        <v/>
      </c>
      <c r="J59" s="7">
        <f>IF(OR(H59="",I59=""),"",H59+I59)</f>
        <v/>
      </c>
      <c r="K59" s="8" t="inlineStr">
        <is>
          <t>BMW, Mercedes, Audi</t>
        </is>
      </c>
      <c r="L59" s="8" t="inlineStr">
        <is>
          <t>High-performance tires, run-flat tires, EV tires, motorsport tires</t>
        </is>
      </c>
      <c r="M59" s="5" t="inlineStr">
        <is>
          <t>Q3 2025</t>
        </is>
      </c>
      <c r="N59" s="8" t="inlineStr">
        <is>
          <t>Yahoo Finance (PIRC.MI)</t>
        </is>
      </c>
    </row>
    <row r="60">
      <c r="A60" s="9" t="n">
        <v>209831544</v>
      </c>
      <c r="B60" s="10" t="inlineStr">
        <is>
          <t>LINAMAR CORP</t>
        </is>
      </c>
      <c r="C60" s="11" t="n">
        <v>1</v>
      </c>
      <c r="D60" s="11" t="inlineStr">
        <is>
          <t>Q4 2025</t>
        </is>
      </c>
      <c r="E60" s="12" t="n">
        <v>1832488822</v>
      </c>
      <c r="F60" s="12" t="n">
        <v>109150524</v>
      </c>
      <c r="G60" s="12" t="n">
        <v>145311826</v>
      </c>
      <c r="H60" s="13">
        <f>IF(OR(E60="",F60=""),"",F60/E60)</f>
        <v/>
      </c>
      <c r="I60" s="13">
        <f>IF(OR(E60="",G60=""),"",G60/E60)</f>
        <v/>
      </c>
      <c r="J60" s="13">
        <f>IF(OR(H60="",I60=""),"",H60+I60)</f>
        <v/>
      </c>
      <c r="K60" s="14" t="inlineStr">
        <is>
          <t>General Motors, Ford, Stellantis, Volkswagen, Tesla</t>
        </is>
      </c>
      <c r="L60" s="14" t="inlineStr">
        <is>
          <t>Powertrain components, driveline systems, EV structural components, precision machined parts</t>
        </is>
      </c>
      <c r="M60" s="11" t="inlineStr">
        <is>
          <t>Q4 2025</t>
        </is>
      </c>
      <c r="N60" s="14" t="inlineStr">
        <is>
          <t>Yahoo Finance (LNR.TO)</t>
        </is>
      </c>
    </row>
    <row r="61">
      <c r="A61" s="3" t="n">
        <v>690565601</v>
      </c>
      <c r="B61" s="4" t="inlineStr">
        <is>
          <t>YOKOHAMA RUBBER CO LTD, THE</t>
        </is>
      </c>
      <c r="C61" s="5" t="n">
        <v>1</v>
      </c>
      <c r="D61" s="5" t="inlineStr">
        <is>
          <t>Q2 2024</t>
        </is>
      </c>
      <c r="E61" s="6" t="n">
        <v>1707897687</v>
      </c>
      <c r="F61" s="6" t="n">
        <v>413504723</v>
      </c>
      <c r="G61" s="6" t="n">
        <v>184651290</v>
      </c>
      <c r="H61" s="7">
        <f>IF(OR(E61="",F61=""),"",F61/E61)</f>
        <v/>
      </c>
      <c r="I61" s="7">
        <f>IF(OR(E61="",G61=""),"",G61/E61)</f>
        <v/>
      </c>
      <c r="J61" s="7">
        <f>IF(OR(H61="",I61=""),"",H61+I61)</f>
        <v/>
      </c>
      <c r="K61" s="8" t="inlineStr">
        <is>
          <t>Toyota, Mazda, Mercedes</t>
        </is>
      </c>
      <c r="L61" s="8" t="inlineStr">
        <is>
          <t>Passenger tires, SUV tires, winter tires, industrial hoses</t>
        </is>
      </c>
      <c r="M61" s="5" t="inlineStr">
        <is>
          <t>Q2 2024</t>
        </is>
      </c>
      <c r="N61" s="8" t="inlineStr">
        <is>
          <t>Yahoo Finance (5101.T)</t>
        </is>
      </c>
    </row>
    <row r="62">
      <c r="A62" s="9" t="n">
        <v>654532019</v>
      </c>
      <c r="B62" s="10" t="inlineStr">
        <is>
          <t>FUYAO GLASS INDUSTRY GROUP CO LTD</t>
        </is>
      </c>
      <c r="C62" s="11" t="n">
        <v>1</v>
      </c>
      <c r="D62" s="11" t="inlineStr">
        <is>
          <t>Q2 2025</t>
        </is>
      </c>
      <c r="E62" s="12" t="n">
        <v>1472036312</v>
      </c>
      <c r="F62" s="12" t="n">
        <v>-23083476</v>
      </c>
      <c r="G62" s="12" t="n">
        <v>358963173</v>
      </c>
      <c r="H62" s="13">
        <f>IF(OR(E62="",F62=""),"",F62/E62)</f>
        <v/>
      </c>
      <c r="I62" s="13">
        <f>IF(OR(E62="",G62=""),"",G62/E62)</f>
        <v/>
      </c>
      <c r="J62" s="13">
        <f>IF(OR(H62="",I62=""),"",H62+I62)</f>
        <v/>
      </c>
      <c r="K62" s="14" t="inlineStr">
        <is>
          <t>Volkswagen, General Motors, Ford, Toyota, Tesla, Stellantis</t>
        </is>
      </c>
      <c r="L62" s="14" t="inlineStr">
        <is>
          <t>Windshields, side windows, rear windows, laminated safety glass</t>
        </is>
      </c>
      <c r="M62" s="11" t="inlineStr">
        <is>
          <t>Q2 2025</t>
        </is>
      </c>
      <c r="N62" s="14" t="inlineStr">
        <is>
          <t>Yahoo Finance (3606.HK)</t>
        </is>
      </c>
    </row>
    <row r="63">
      <c r="A63" s="3" t="n">
        <v>687784926</v>
      </c>
      <c r="B63" s="4" t="inlineStr">
        <is>
          <t>HYUNDAI WIA CORP</t>
        </is>
      </c>
      <c r="C63" s="5" t="n">
        <v>1</v>
      </c>
      <c r="D63" s="5" t="inlineStr">
        <is>
          <t>Q3 2025</t>
        </is>
      </c>
      <c r="E63" s="6" t="n">
        <v>1426320205</v>
      </c>
      <c r="F63" s="6" t="n">
        <v>-15091901</v>
      </c>
      <c r="G63" s="6" t="n">
        <v>34437161</v>
      </c>
      <c r="H63" s="7">
        <f>IF(OR(E63="",F63=""),"",F63/E63)</f>
        <v/>
      </c>
      <c r="I63" s="7">
        <f>IF(OR(E63="",G63=""),"",G63/E63)</f>
        <v/>
      </c>
      <c r="J63" s="7">
        <f>IF(OR(H63="",I63=""),"",H63+I63)</f>
        <v/>
      </c>
      <c r="K63" s="8" t="inlineStr">
        <is>
          <t>Hyundai, Kia, General Motors, Renault, Nissan, Volvo</t>
        </is>
      </c>
      <c r="L63" s="8" t="inlineStr">
        <is>
          <t>Engine systems, drivetrain, axles, machining systems</t>
        </is>
      </c>
      <c r="M63" s="5" t="inlineStr">
        <is>
          <t>Q3 2025</t>
        </is>
      </c>
      <c r="N63" s="8" t="inlineStr">
        <is>
          <t>Yahoo Finance (011210.KS)</t>
        </is>
      </c>
    </row>
    <row r="64">
      <c r="A64" s="9" t="n">
        <v>556879252</v>
      </c>
      <c r="B64" s="10" t="inlineStr">
        <is>
          <t>GENTHERM INC</t>
        </is>
      </c>
      <c r="C64" s="11" t="n">
        <v>1</v>
      </c>
      <c r="D64" s="11" t="inlineStr">
        <is>
          <t>FY2024</t>
        </is>
      </c>
      <c r="E64" s="12" t="n">
        <v>1108900000</v>
      </c>
      <c r="F64" s="12" t="n">
        <v>107600000</v>
      </c>
      <c r="G64" s="12" t="n">
        <v>72400000</v>
      </c>
      <c r="H64" s="13">
        <f>IF(OR(E64="",F64=""),"",F64/E64)</f>
        <v/>
      </c>
      <c r="I64" s="13">
        <f>IF(OR(E64="",G64=""),"",G64/E64)</f>
        <v/>
      </c>
      <c r="J64" s="13">
        <f>IF(OR(H64="",I64=""),"",H64+I64)</f>
        <v/>
      </c>
      <c r="K64" s="14" t="inlineStr">
        <is>
          <t>Ford, General Motors, Toyota, Stellantis, Tesla</t>
        </is>
      </c>
      <c r="L64" s="14" t="inlineStr">
        <is>
          <t>Heated/cooled/ventilated seats, battery thermal management, steering wheel heaters</t>
        </is>
      </c>
      <c r="M64" s="11" t="inlineStr">
        <is>
          <t>FY2024</t>
        </is>
      </c>
      <c r="N64" s="14" t="inlineStr">
        <is>
          <t>Gentherm 2024 10-K</t>
        </is>
      </c>
    </row>
    <row r="65">
      <c r="A65" s="3" t="n">
        <v>690557053</v>
      </c>
      <c r="B65" s="4" t="inlineStr">
        <is>
          <t>TOYO TIRE CORPORATION</t>
        </is>
      </c>
      <c r="C65" s="5" t="n">
        <v>1</v>
      </c>
      <c r="D65" s="5" t="inlineStr">
        <is>
          <t>Q2 2024</t>
        </is>
      </c>
      <c r="E65" s="6" t="n">
        <v>913485913</v>
      </c>
      <c r="F65" s="6" t="n"/>
      <c r="G65" s="6" t="n">
        <v>135166422</v>
      </c>
      <c r="H65" s="7">
        <f>IF(OR(E65="",F65=""),"",F65/E65)</f>
        <v/>
      </c>
      <c r="I65" s="7">
        <f>IF(OR(E65="",G65=""),"",G65/E65)</f>
        <v/>
      </c>
      <c r="J65" s="7">
        <f>IF(OR(H65="",I65=""),"",H65+I65)</f>
        <v/>
      </c>
      <c r="K65" s="8" t="inlineStr">
        <is>
          <t>Toyota, Mazda, Audi, Ford</t>
        </is>
      </c>
      <c r="L65" s="8" t="inlineStr">
        <is>
          <t>Passenger tires, light truck tires, performance tires</t>
        </is>
      </c>
      <c r="M65" s="5" t="inlineStr">
        <is>
          <t>Q2 2024</t>
        </is>
      </c>
      <c r="N65" s="8" t="inlineStr">
        <is>
          <t>Yahoo Finance (5105.T)</t>
        </is>
      </c>
    </row>
    <row r="66">
      <c r="A66" s="9" t="n">
        <v>252027883</v>
      </c>
      <c r="B66" s="10" t="inlineStr">
        <is>
          <t>MARTINREA INTERNATIONAL INC</t>
        </is>
      </c>
      <c r="C66" s="11" t="n">
        <v>1</v>
      </c>
      <c r="D66" s="11" t="inlineStr">
        <is>
          <t>Q3 2025</t>
        </is>
      </c>
      <c r="E66" s="12" t="n">
        <v>867551417</v>
      </c>
      <c r="F66" s="12" t="n">
        <v>65265194</v>
      </c>
      <c r="G66" s="12" t="n">
        <v>47480697</v>
      </c>
      <c r="H66" s="13">
        <f>IF(OR(E66="",F66=""),"",F66/E66)</f>
        <v/>
      </c>
      <c r="I66" s="13">
        <f>IF(OR(E66="",G66=""),"",G66/E66)</f>
        <v/>
      </c>
      <c r="J66" s="13">
        <f>IF(OR(H66="",I66=""),"",H66+I66)</f>
        <v/>
      </c>
      <c r="K66" s="14" t="inlineStr">
        <is>
          <t>General Motors, Ford, Stellantis, BMW, Volkswagen</t>
        </is>
      </c>
      <c r="L66" s="14" t="inlineStr">
        <is>
          <t>Metal stampings, structural assemblies, fluid management modules, bumper systems</t>
        </is>
      </c>
      <c r="M66" s="11" t="inlineStr">
        <is>
          <t>Q3 2025</t>
        </is>
      </c>
      <c r="N66" s="14" t="inlineStr">
        <is>
          <t>Yahoo Finance (MRE.TO)</t>
        </is>
      </c>
    </row>
    <row r="67">
      <c r="A67" s="3" t="n">
        <v>690547401</v>
      </c>
      <c r="B67" s="4" t="inlineStr">
        <is>
          <t>KYB CORP</t>
        </is>
      </c>
      <c r="C67" s="5" t="n">
        <v>1</v>
      </c>
      <c r="D67" s="5" t="inlineStr">
        <is>
          <t>Q3 2024</t>
        </is>
      </c>
      <c r="E67" s="6" t="n">
        <v>655365370</v>
      </c>
      <c r="F67" s="6" t="n">
        <v>94557974</v>
      </c>
      <c r="G67" s="6" t="n">
        <v>9945236</v>
      </c>
      <c r="H67" s="7">
        <f>IF(OR(E67="",F67=""),"",F67/E67)</f>
        <v/>
      </c>
      <c r="I67" s="7">
        <f>IF(OR(E67="",G67=""),"",G67/E67)</f>
        <v/>
      </c>
      <c r="J67" s="7">
        <f>IF(OR(H67="",I67=""),"",H67+I67)</f>
        <v/>
      </c>
      <c r="K67" s="8" t="inlineStr">
        <is>
          <t>Toyota, Honda, Nissan, Ford, Volkswagen, Subaru</t>
        </is>
      </c>
      <c r="L67" s="8" t="inlineStr">
        <is>
          <t>Shock absorbers, struts, steering gear boxes, EPS systems</t>
        </is>
      </c>
      <c r="M67" s="5" t="inlineStr">
        <is>
          <t>Q3 2024</t>
        </is>
      </c>
      <c r="N67" s="8" t="inlineStr">
        <is>
          <t>Yahoo Finance (7242.T)</t>
        </is>
      </c>
    </row>
    <row r="68">
      <c r="A68" s="9" t="n">
        <v>687735407</v>
      </c>
      <c r="B68" s="10" t="inlineStr">
        <is>
          <t>HANKOOK &amp; COMPANY CO LTD</t>
        </is>
      </c>
      <c r="C68" s="11" t="n">
        <v>1</v>
      </c>
      <c r="D68" s="11" t="inlineStr">
        <is>
          <t>Q3 2025</t>
        </is>
      </c>
      <c r="E68" s="12" t="n">
        <v>255000250</v>
      </c>
      <c r="F68" s="12" t="n">
        <v>8343330</v>
      </c>
      <c r="G68" s="12" t="n">
        <v>90850820</v>
      </c>
      <c r="H68" s="13">
        <f>IF(OR(E68="",F68=""),"",F68/E68)</f>
        <v/>
      </c>
      <c r="I68" s="13">
        <f>IF(OR(E68="",G68=""),"",G68/E68)</f>
        <v/>
      </c>
      <c r="J68" s="13">
        <f>IF(OR(H68="",I68=""),"",H68+I68)</f>
        <v/>
      </c>
      <c r="K68" s="14" t="inlineStr">
        <is>
          <t>Tesla, BMW, Hyundai, Kia</t>
        </is>
      </c>
      <c r="L68" s="14" t="inlineStr">
        <is>
          <t>Passenger tires, performance tires, EV-specific tires</t>
        </is>
      </c>
      <c r="M68" s="11" t="inlineStr">
        <is>
          <t>Q3 2025</t>
        </is>
      </c>
      <c r="N68" s="14" t="inlineStr">
        <is>
          <t>Yahoo Finance (000240.KS)</t>
        </is>
      </c>
    </row>
    <row r="69">
      <c r="A69" s="15" t="n">
        <v>650141922</v>
      </c>
      <c r="B69" s="16" t="inlineStr">
        <is>
          <t>HINDALCO INDUSTRIES LTD</t>
        </is>
      </c>
      <c r="C69" s="17" t="n">
        <v>2</v>
      </c>
      <c r="D69" s="17" t="inlineStr">
        <is>
          <t>Q4 2025</t>
        </is>
      </c>
      <c r="E69" s="18" t="n">
        <v>665210000000</v>
      </c>
      <c r="F69" s="18" t="n"/>
      <c r="G69" s="18" t="n">
        <v>57550000000</v>
      </c>
      <c r="H69" s="19">
        <f>IF(OR(E69="",F69=""),"",F69/E69)</f>
        <v/>
      </c>
      <c r="I69" s="19">
        <f>IF(OR(E69="",G69=""),"",G69/E69)</f>
        <v/>
      </c>
      <c r="J69" s="19">
        <f>IF(OR(H69="",I69=""),"",H69+I69)</f>
        <v/>
      </c>
      <c r="K69" s="20" t="inlineStr">
        <is>
          <t>Ford, General Motors, BMW</t>
        </is>
      </c>
      <c r="L69" s="20" t="inlineStr">
        <is>
          <t>Aluminum auto body sheet, flat-rolled aluminum for closures</t>
        </is>
      </c>
      <c r="M69" s="17" t="inlineStr">
        <is>
          <t>Q4 2025</t>
        </is>
      </c>
      <c r="N69" s="20" t="inlineStr">
        <is>
          <t>Yahoo Finance (HINDALCO.NS)</t>
        </is>
      </c>
    </row>
    <row r="70">
      <c r="A70" s="9" t="n">
        <v>650049299</v>
      </c>
      <c r="B70" s="10" t="inlineStr">
        <is>
          <t>BHARAT FORGE LTD</t>
        </is>
      </c>
      <c r="C70" s="11" t="n">
        <v>2</v>
      </c>
      <c r="D70" s="11" t="inlineStr">
        <is>
          <t>Q4 2025</t>
        </is>
      </c>
      <c r="E70" s="12" t="n">
        <v>43429340000</v>
      </c>
      <c r="F70" s="12" t="n"/>
      <c r="G70" s="12" t="n">
        <v>5010590000</v>
      </c>
      <c r="H70" s="13">
        <f>IF(OR(E70="",F70=""),"",F70/E70)</f>
        <v/>
      </c>
      <c r="I70" s="13">
        <f>IF(OR(E70="",G70=""),"",G70/E70)</f>
        <v/>
      </c>
      <c r="J70" s="13">
        <f>IF(OR(H70="",I70=""),"",H70+I70)</f>
        <v/>
      </c>
      <c r="K70" s="14" t="inlineStr">
        <is>
          <t>Volkswagen, Mercedes, Volvo, General Motors, Stellantis</t>
        </is>
      </c>
      <c r="L70" s="14" t="inlineStr">
        <is>
          <t>Forged crankshafts, connecting rods, front axle beams, knuckles</t>
        </is>
      </c>
      <c r="M70" s="11" t="inlineStr">
        <is>
          <t>Q4 2025</t>
        </is>
      </c>
      <c r="N70" s="14" t="inlineStr">
        <is>
          <t>Yahoo Finance (BHARATFORG.NS)</t>
        </is>
      </c>
    </row>
    <row r="71">
      <c r="A71" s="15" t="n">
        <v>315000554</v>
      </c>
      <c r="B71" s="16" t="inlineStr">
        <is>
          <t>BASF SE</t>
        </is>
      </c>
      <c r="C71" s="17" t="n">
        <v>2</v>
      </c>
      <c r="D71" s="17" t="inlineStr">
        <is>
          <t>Q4 2025</t>
        </is>
      </c>
      <c r="E71" s="18" t="n">
        <v>16081374639</v>
      </c>
      <c r="F71" s="18" t="n">
        <v>2535243440</v>
      </c>
      <c r="G71" s="18" t="n">
        <v>916905403</v>
      </c>
      <c r="H71" s="19">
        <f>IF(OR(E71="",F71=""),"",F71/E71)</f>
        <v/>
      </c>
      <c r="I71" s="19">
        <f>IF(OR(E71="",G71=""),"",G71/E71)</f>
        <v/>
      </c>
      <c r="J71" s="19">
        <f>IF(OR(H71="",I71=""),"",H71+I71)</f>
        <v/>
      </c>
      <c r="K71" s="20" t="inlineStr">
        <is>
          <t>Mercedes, Volkswagen, Toyota, Tesla</t>
        </is>
      </c>
      <c r="L71" s="20" t="inlineStr">
        <is>
          <t>Automotive coatings, engineering plastics, battery materials, foam</t>
        </is>
      </c>
      <c r="M71" s="17" t="inlineStr">
        <is>
          <t>Q4 2025</t>
        </is>
      </c>
      <c r="N71" s="20" t="inlineStr">
        <is>
          <t>Yahoo Finance (BAS.DE)</t>
        </is>
      </c>
    </row>
    <row r="72">
      <c r="A72" s="9" t="n">
        <v>650086143</v>
      </c>
      <c r="B72" s="10" t="inlineStr">
        <is>
          <t>SUNDRAM FASTENERS LTD</t>
        </is>
      </c>
      <c r="C72" s="11" t="n">
        <v>2</v>
      </c>
      <c r="D72" s="11" t="inlineStr">
        <is>
          <t>Q4 2025</t>
        </is>
      </c>
      <c r="E72" s="12" t="n">
        <v>15411100000</v>
      </c>
      <c r="F72" s="12" t="n"/>
      <c r="G72" s="12" t="n">
        <v>1827600000</v>
      </c>
      <c r="H72" s="13">
        <f>IF(OR(E72="",F72=""),"",F72/E72)</f>
        <v/>
      </c>
      <c r="I72" s="13">
        <f>IF(OR(E72="",G72=""),"",G72/E72)</f>
        <v/>
      </c>
      <c r="J72" s="13">
        <f>IF(OR(H72="",I72=""),"",H72+I72)</f>
        <v/>
      </c>
      <c r="K72" s="14" t="inlineStr">
        <is>
          <t>General Motors, Ford, Volkswagen, Renault, Volvo</t>
        </is>
      </c>
      <c r="L72" s="14" t="inlineStr">
        <is>
          <t>High-tensile fasteners, powder metal components, castings</t>
        </is>
      </c>
      <c r="M72" s="11" t="inlineStr">
        <is>
          <t>Q4 2025</t>
        </is>
      </c>
      <c r="N72" s="14" t="inlineStr">
        <is>
          <t>Yahoo Finance (SUNDRMFAST.NS)</t>
        </is>
      </c>
    </row>
    <row r="73">
      <c r="A73" s="15" t="n">
        <v>177220647</v>
      </c>
      <c r="B73" s="16" t="inlineStr">
        <is>
          <t>AMPHENOL CORP</t>
        </is>
      </c>
      <c r="C73" s="17" t="n">
        <v>2</v>
      </c>
      <c r="D73" s="17" t="inlineStr">
        <is>
          <t>FY2024</t>
        </is>
      </c>
      <c r="E73" s="18" t="n">
        <v>14840000000</v>
      </c>
      <c r="F73" s="18" t="n">
        <v>720000000</v>
      </c>
      <c r="G73" s="18" t="n">
        <v>3010000000</v>
      </c>
      <c r="H73" s="19">
        <f>IF(OR(E73="",F73=""),"",F73/E73)</f>
        <v/>
      </c>
      <c r="I73" s="19">
        <f>IF(OR(E73="",G73=""),"",G73/E73)</f>
        <v/>
      </c>
      <c r="J73" s="19">
        <f>IF(OR(H73="",I73=""),"",H73+I73)</f>
        <v/>
      </c>
      <c r="K73" s="20" t="inlineStr">
        <is>
          <t>General Motors, Audi, BMW, Nissan</t>
        </is>
      </c>
      <c r="L73" s="20" t="inlineStr">
        <is>
          <t>High-voltage EV connectors, sensor connectors, automotive antenna assemblies</t>
        </is>
      </c>
      <c r="M73" s="17" t="inlineStr">
        <is>
          <t>FY2024</t>
        </is>
      </c>
      <c r="N73" s="20" t="inlineStr">
        <is>
          <t>Amphenol 2024 10-K</t>
        </is>
      </c>
    </row>
    <row r="74">
      <c r="A74" s="9" t="n">
        <v>480000538</v>
      </c>
      <c r="B74" s="10" t="inlineStr">
        <is>
          <t>SIKA AG</t>
        </is>
      </c>
      <c r="C74" s="11" t="n">
        <v>2</v>
      </c>
      <c r="D74" s="11" t="inlineStr">
        <is>
          <t>FY2024</t>
        </is>
      </c>
      <c r="E74" s="12" t="n">
        <v>12150000000</v>
      </c>
      <c r="F74" s="12" t="n">
        <v>2040000000</v>
      </c>
      <c r="G74" s="12" t="n">
        <v>1740000000</v>
      </c>
      <c r="H74" s="13">
        <f>IF(OR(E74="",F74=""),"",F74/E74)</f>
        <v/>
      </c>
      <c r="I74" s="13">
        <f>IF(OR(E74="",G74=""),"",G74/E74)</f>
        <v/>
      </c>
      <c r="J74" s="13">
        <f>IF(OR(H74="",I74=""),"",H74+I74)</f>
        <v/>
      </c>
      <c r="K74" s="14" t="inlineStr">
        <is>
          <t>Volkswagen, Stellantis, Toyota</t>
        </is>
      </c>
      <c r="L74" s="14" t="inlineStr">
        <is>
          <t>Structural adhesives, acoustic baffles, seam sealants, battery adhesives for EV</t>
        </is>
      </c>
      <c r="M74" s="11" t="inlineStr">
        <is>
          <t>FY2024</t>
        </is>
      </c>
      <c r="N74" s="14" t="inlineStr">
        <is>
          <t>Sika 2024 Annual Report (CHF ~11B)</t>
        </is>
      </c>
    </row>
    <row r="75">
      <c r="A75" s="15" t="n">
        <v>687739466</v>
      </c>
      <c r="B75" s="16" t="inlineStr">
        <is>
          <t>HANWHA CORP</t>
        </is>
      </c>
      <c r="C75" s="17" t="n">
        <v>2</v>
      </c>
      <c r="D75" s="17" t="inlineStr">
        <is>
          <t>Q3 2025</t>
        </is>
      </c>
      <c r="E75" s="18" t="n">
        <v>11789444653</v>
      </c>
      <c r="F75" s="18" t="n">
        <v>424972002</v>
      </c>
      <c r="G75" s="18" t="n">
        <v>890975627</v>
      </c>
      <c r="H75" s="19">
        <f>IF(OR(E75="",F75=""),"",F75/E75)</f>
        <v/>
      </c>
      <c r="I75" s="19">
        <f>IF(OR(E75="",G75=""),"",G75/E75)</f>
        <v/>
      </c>
      <c r="J75" s="19">
        <f>IF(OR(H75="",I75=""),"",H75+I75)</f>
        <v/>
      </c>
      <c r="K75" s="20" t="inlineStr">
        <is>
          <t>Hyundai, BMW, Kia, Mercedes, Volkswagen, General Motors</t>
        </is>
      </c>
      <c r="L75" s="20" t="inlineStr">
        <is>
          <t>Automotive steel, industrial components, auto parts</t>
        </is>
      </c>
      <c r="M75" s="17" t="inlineStr">
        <is>
          <t>Q3 2025</t>
        </is>
      </c>
      <c r="N75" s="20" t="inlineStr">
        <is>
          <t>Yahoo Finance (000880.KS)</t>
        </is>
      </c>
    </row>
    <row r="76">
      <c r="A76" s="9" t="n">
        <v>918030230</v>
      </c>
      <c r="B76" s="10" t="inlineStr">
        <is>
          <t>SUPRAJIT ENGINEERING LTD</t>
        </is>
      </c>
      <c r="C76" s="11" t="n">
        <v>2</v>
      </c>
      <c r="D76" s="11" t="inlineStr">
        <is>
          <t>Q4 2025</t>
        </is>
      </c>
      <c r="E76" s="12" t="n">
        <v>9789570000</v>
      </c>
      <c r="F76" s="12" t="n"/>
      <c r="G76" s="12" t="n">
        <v>556040000</v>
      </c>
      <c r="H76" s="13">
        <f>IF(OR(E76="",F76=""),"",F76/E76)</f>
        <v/>
      </c>
      <c r="I76" s="13">
        <f>IF(OR(E76="",G76=""),"",G76/E76)</f>
        <v/>
      </c>
      <c r="J76" s="13">
        <f>IF(OR(H76="",I76=""),"",H76+I76)</f>
        <v/>
      </c>
      <c r="K76" s="14" t="inlineStr">
        <is>
          <t>BMW</t>
        </is>
      </c>
      <c r="L76" s="14" t="inlineStr">
        <is>
          <t>Control cables, parking brake cables, shift cables</t>
        </is>
      </c>
      <c r="M76" s="11" t="inlineStr">
        <is>
          <t>Q4 2025</t>
        </is>
      </c>
      <c r="N76" s="14" t="inlineStr">
        <is>
          <t>Yahoo Finance (SUPRAJIT.NS)</t>
        </is>
      </c>
    </row>
    <row r="77">
      <c r="A77" s="15" t="n">
        <v>518896162</v>
      </c>
      <c r="B77" s="16" t="inlineStr">
        <is>
          <t>KONGSBERG AUTOMOTIVE ASA</t>
        </is>
      </c>
      <c r="C77" s="17" t="n">
        <v>2</v>
      </c>
      <c r="D77" s="17" t="inlineStr">
        <is>
          <t>Q4 2025</t>
        </is>
      </c>
      <c r="E77" s="18" t="n">
        <v>9593000000</v>
      </c>
      <c r="F77" s="18" t="n"/>
      <c r="G77" s="18" t="n">
        <v>1646000000</v>
      </c>
      <c r="H77" s="19">
        <f>IF(OR(E77="",F77=""),"",F77/E77)</f>
        <v/>
      </c>
      <c r="I77" s="19">
        <f>IF(OR(E77="",G77=""),"",G77/E77)</f>
        <v/>
      </c>
      <c r="J77" s="19">
        <f>IF(OR(H77="",I77=""),"",H77+I77)</f>
        <v/>
      </c>
      <c r="K77" s="20" t="inlineStr">
        <is>
          <t>Ford, Nissan</t>
        </is>
      </c>
      <c r="L77" s="20" t="inlineStr">
        <is>
          <t>Gear shift cables, seating comfort systems, fluid/air management</t>
        </is>
      </c>
      <c r="M77" s="17" t="inlineStr">
        <is>
          <t>Q4 2025</t>
        </is>
      </c>
      <c r="N77" s="20" t="inlineStr">
        <is>
          <t>Yahoo Finance (KOG.OL)</t>
        </is>
      </c>
    </row>
    <row r="78">
      <c r="A78" s="9" t="n">
        <v>690551346</v>
      </c>
      <c r="B78" s="10" t="inlineStr">
        <is>
          <t>TDK CORP</t>
        </is>
      </c>
      <c r="C78" s="11" t="n">
        <v>2</v>
      </c>
      <c r="D78" s="11" t="inlineStr">
        <is>
          <t>FY Mar2025</t>
        </is>
      </c>
      <c r="E78" s="12" t="n">
        <v>8720000000</v>
      </c>
      <c r="F78" s="12" t="n">
        <v>440000000</v>
      </c>
      <c r="G78" s="12" t="n">
        <v>540000000</v>
      </c>
      <c r="H78" s="13">
        <f>IF(OR(E78="",F78=""),"",F78/E78)</f>
        <v/>
      </c>
      <c r="I78" s="13">
        <f>IF(OR(E78="",G78=""),"",G78/E78)</f>
        <v/>
      </c>
      <c r="J78" s="13">
        <f>IF(OR(H78="",I78=""),"",H78+I78)</f>
        <v/>
      </c>
      <c r="K78" s="14" t="inlineStr">
        <is>
          <t>Tesla, Toyota, Honda, General Motors, Volkswagen</t>
        </is>
      </c>
      <c r="L78" s="14" t="inlineStr">
        <is>
          <t>Ferrite cores, capacitors, EV battery management systems, sensors</t>
        </is>
      </c>
      <c r="M78" s="11" t="inlineStr">
        <is>
          <t>FY Mar2025</t>
        </is>
      </c>
      <c r="N78" s="14" t="inlineStr">
        <is>
          <t>TDK FY2024 Annual Report (JPY ~1.3T)</t>
        </is>
      </c>
    </row>
    <row r="79">
      <c r="A79" s="15" t="n">
        <v>544771496</v>
      </c>
      <c r="B79" s="16" t="inlineStr">
        <is>
          <t>ZHEJIANG SANHUA INTELLIGENT CONTROL</t>
        </is>
      </c>
      <c r="C79" s="17" t="n">
        <v>2</v>
      </c>
      <c r="D79" s="17" t="inlineStr">
        <is>
          <t>Q2 2025</t>
        </is>
      </c>
      <c r="E79" s="18" t="n">
        <v>8593336964</v>
      </c>
      <c r="F79" s="18" t="n">
        <v>-234081110</v>
      </c>
      <c r="G79" s="18" t="n">
        <v>1595070668</v>
      </c>
      <c r="H79" s="19">
        <f>IF(OR(E79="",F79=""),"",F79/E79)</f>
        <v/>
      </c>
      <c r="I79" s="19">
        <f>IF(OR(E79="",G79=""),"",G79/E79)</f>
        <v/>
      </c>
      <c r="J79" s="19">
        <f>IF(OR(H79="",I79=""),"",H79+I79)</f>
        <v/>
      </c>
      <c r="K79" s="20" t="inlineStr">
        <is>
          <t>Toyota, Volkswagen, Tesla</t>
        </is>
      </c>
      <c r="L79" s="20" t="inlineStr">
        <is>
          <t>EV thermal expansion valves, refrigerant valves, heat exchangers</t>
        </is>
      </c>
      <c r="M79" s="17" t="inlineStr">
        <is>
          <t>Q2 2025</t>
        </is>
      </c>
      <c r="N79" s="20" t="inlineStr">
        <is>
          <t>Yahoo Finance (002050.SZ)</t>
        </is>
      </c>
    </row>
    <row r="80">
      <c r="A80" s="9" t="n">
        <v>738162205</v>
      </c>
      <c r="B80" s="10" t="inlineStr">
        <is>
          <t>NEXANS SA</t>
        </is>
      </c>
      <c r="C80" s="11" t="n">
        <v>2</v>
      </c>
      <c r="D80" s="11" t="inlineStr">
        <is>
          <t>FY2024</t>
        </is>
      </c>
      <c r="E80" s="12" t="n">
        <v>8320000000</v>
      </c>
      <c r="F80" s="12" t="n">
        <v>430000000</v>
      </c>
      <c r="G80" s="12" t="n">
        <v>530000000</v>
      </c>
      <c r="H80" s="13">
        <f>IF(OR(E80="",F80=""),"",F80/E80)</f>
        <v/>
      </c>
      <c r="I80" s="13">
        <f>IF(OR(E80="",G80=""),"",G80/E80)</f>
        <v/>
      </c>
      <c r="J80" s="13">
        <f>IF(OR(H80="",I80=""),"",H80+I80)</f>
        <v/>
      </c>
      <c r="K80" s="14" t="inlineStr">
        <is>
          <t>Stellantis, Volkswagen, BMW, Mercedes</t>
        </is>
      </c>
      <c r="L80" s="14" t="inlineStr">
        <is>
          <t>High-voltage EV cables, low-voltage wiring harnesses, charging cables</t>
        </is>
      </c>
      <c r="M80" s="11" t="inlineStr">
        <is>
          <t>FY2024</t>
        </is>
      </c>
      <c r="N80" s="14" t="inlineStr">
        <is>
          <t>Nexans 2024 Annual Report (EUR ~€7.7B)</t>
        </is>
      </c>
    </row>
    <row r="81">
      <c r="A81" s="15" t="n">
        <v>690535018</v>
      </c>
      <c r="B81" s="16" t="inlineStr">
        <is>
          <t>KOBE STEEL LTD</t>
        </is>
      </c>
      <c r="C81" s="17" t="n">
        <v>2</v>
      </c>
      <c r="D81" s="17" t="inlineStr">
        <is>
          <t>FY Mar2025</t>
        </is>
      </c>
      <c r="E81" s="18" t="n">
        <v>8160000000</v>
      </c>
      <c r="F81" s="18" t="n">
        <v>430000000</v>
      </c>
      <c r="G81" s="18" t="n">
        <v>490000000</v>
      </c>
      <c r="H81" s="19">
        <f>IF(OR(E81="",F81=""),"",F81/E81)</f>
        <v/>
      </c>
      <c r="I81" s="19">
        <f>IF(OR(E81="",G81=""),"",G81/E81)</f>
        <v/>
      </c>
      <c r="J81" s="19">
        <f>IF(OR(H81="",I81=""),"",H81+I81)</f>
        <v/>
      </c>
      <c r="K81" s="20" t="inlineStr">
        <is>
          <t>Toyota, Nissan, Honda, Mazda, Subaru, General Motors</t>
        </is>
      </c>
      <c r="L81" s="20" t="inlineStr">
        <is>
          <t>Aluminum alloy sheet, high-strength steel wire rod, forged components</t>
        </is>
      </c>
      <c r="M81" s="17" t="inlineStr">
        <is>
          <t>FY Mar2025</t>
        </is>
      </c>
      <c r="N81" s="20" t="inlineStr">
        <is>
          <t>Kobe Steel FY2024 Annual Report (JPY ~1.22T)</t>
        </is>
      </c>
    </row>
    <row r="82">
      <c r="A82" s="9" t="n">
        <v>690538913</v>
      </c>
      <c r="B82" s="10" t="inlineStr">
        <is>
          <t>NITTO DENKO CORP</t>
        </is>
      </c>
      <c r="C82" s="11" t="n">
        <v>2</v>
      </c>
      <c r="D82" s="11" t="inlineStr">
        <is>
          <t>FY Mar2025</t>
        </is>
      </c>
      <c r="E82" s="12" t="n">
        <v>7950000000</v>
      </c>
      <c r="F82" s="12" t="n">
        <v>420000000</v>
      </c>
      <c r="G82" s="12" t="n">
        <v>870000000</v>
      </c>
      <c r="H82" s="13">
        <f>IF(OR(E82="",F82=""),"",F82/E82)</f>
        <v/>
      </c>
      <c r="I82" s="13">
        <f>IF(OR(E82="",G82=""),"",G82/E82)</f>
        <v/>
      </c>
      <c r="J82" s="13">
        <f>IF(OR(H82="",I82=""),"",H82+I82)</f>
        <v/>
      </c>
      <c r="K82" s="14" t="inlineStr">
        <is>
          <t>Toyota, Honda, Nissan, Tesla</t>
        </is>
      </c>
      <c r="L82" s="14" t="inlineStr">
        <is>
          <t>Masking films, window protection films, EV battery films, NVH tapes</t>
        </is>
      </c>
      <c r="M82" s="11" t="inlineStr">
        <is>
          <t>FY Mar2025</t>
        </is>
      </c>
      <c r="N82" s="14" t="inlineStr">
        <is>
          <t>Nitto Denko FY2024 Annual Report (JPY ~1.19T)</t>
        </is>
      </c>
    </row>
    <row r="83">
      <c r="A83" s="15" t="n">
        <v>1339472</v>
      </c>
      <c r="B83" s="16" t="inlineStr">
        <is>
          <t>HOWMET AEROSPACE INC</t>
        </is>
      </c>
      <c r="C83" s="17" t="n">
        <v>2</v>
      </c>
      <c r="D83" s="17" t="inlineStr">
        <is>
          <t>FY2024</t>
        </is>
      </c>
      <c r="E83" s="18" t="n">
        <v>7430000000</v>
      </c>
      <c r="F83" s="18" t="n">
        <v>300000000</v>
      </c>
      <c r="G83" s="18" t="n">
        <v>1600000000</v>
      </c>
      <c r="H83" s="19">
        <f>IF(OR(E83="",F83=""),"",F83/E83)</f>
        <v/>
      </c>
      <c r="I83" s="19">
        <f>IF(OR(E83="",G83=""),"",G83/E83)</f>
        <v/>
      </c>
      <c r="J83" s="19">
        <f>IF(OR(H83="",I83=""),"",H83+I83)</f>
        <v/>
      </c>
      <c r="K83" s="20" t="inlineStr">
        <is>
          <t>Ford, General Motors</t>
        </is>
      </c>
      <c r="L83" s="20" t="inlineStr">
        <is>
          <t>Automotive fasteners, multi-material fasteners, precision cast components</t>
        </is>
      </c>
      <c r="M83" s="17" t="inlineStr">
        <is>
          <t>FY2024</t>
        </is>
      </c>
      <c r="N83" s="20" t="inlineStr">
        <is>
          <t>Howmet Aerospace 2024 10-K</t>
        </is>
      </c>
    </row>
    <row r="84">
      <c r="A84" s="9" t="n">
        <v>690537899</v>
      </c>
      <c r="B84" s="10" t="inlineStr">
        <is>
          <t>OMRON CORPORATION</t>
        </is>
      </c>
      <c r="C84" s="11" t="n">
        <v>2</v>
      </c>
      <c r="D84" s="11" t="inlineStr">
        <is>
          <t>FY Mar2025</t>
        </is>
      </c>
      <c r="E84" s="12" t="n">
        <v>7060000000</v>
      </c>
      <c r="F84" s="12" t="n">
        <v>780000000</v>
      </c>
      <c r="G84" s="12" t="n">
        <v>280000000</v>
      </c>
      <c r="H84" s="13">
        <f>IF(OR(E84="",F84=""),"",F84/E84)</f>
        <v/>
      </c>
      <c r="I84" s="13">
        <f>IF(OR(E84="",G84=""),"",G84/E84)</f>
        <v/>
      </c>
      <c r="J84" s="13">
        <f>IF(OR(H84="",I84=""),"",H84+I84)</f>
        <v/>
      </c>
      <c r="K84" s="14" t="inlineStr">
        <is>
          <t>Toyota, Honda, Nissan</t>
        </is>
      </c>
      <c r="L84" s="14" t="inlineStr">
        <is>
          <t>Automotive relays, sensors, EV on-board charger components</t>
        </is>
      </c>
      <c r="M84" s="11" t="inlineStr">
        <is>
          <t>FY Mar2025</t>
        </is>
      </c>
      <c r="N84" s="14" t="inlineStr">
        <is>
          <t>OMRON FY2024 Annual Report (JPY ~1.05T)</t>
        </is>
      </c>
    </row>
    <row r="85">
      <c r="A85" s="15" t="n">
        <v>690535059</v>
      </c>
      <c r="B85" s="16" t="inlineStr">
        <is>
          <t>NSK LTD</t>
        </is>
      </c>
      <c r="C85" s="17" t="n">
        <v>2</v>
      </c>
      <c r="D85" s="17" t="inlineStr">
        <is>
          <t>FY Mar2025</t>
        </is>
      </c>
      <c r="E85" s="18" t="n">
        <v>6950000000</v>
      </c>
      <c r="F85" s="18" t="n">
        <v>460000000</v>
      </c>
      <c r="G85" s="18" t="n">
        <v>315000000</v>
      </c>
      <c r="H85" s="19">
        <f>IF(OR(E85="",F85=""),"",F85/E85)</f>
        <v/>
      </c>
      <c r="I85" s="19">
        <f>IF(OR(E85="",G85=""),"",G85/E85)</f>
        <v/>
      </c>
      <c r="J85" s="19">
        <f>IF(OR(H85="",I85=""),"",H85+I85)</f>
        <v/>
      </c>
      <c r="K85" s="20" t="inlineStr">
        <is>
          <t>Toyota, Honda, Nissan, Suzuki, Mazda, Subaru, General Motors</t>
        </is>
      </c>
      <c r="L85" s="20" t="inlineStr">
        <is>
          <t>Ball bearings, tapered roller bearings, EPS steering systems</t>
        </is>
      </c>
      <c r="M85" s="17" t="inlineStr">
        <is>
          <t>FY Mar2025</t>
        </is>
      </c>
      <c r="N85" s="20" t="inlineStr">
        <is>
          <t>NSK FY2024 Annual Report (JPY ~1.04T)</t>
        </is>
      </c>
    </row>
    <row r="86">
      <c r="A86" s="9" t="n">
        <v>420859670</v>
      </c>
      <c r="B86" s="10" t="inlineStr">
        <is>
          <t>NINGBO HUAXIANG ELECTRONIC CO LTD</t>
        </is>
      </c>
      <c r="C86" s="11" t="n">
        <v>2</v>
      </c>
      <c r="D86" s="11" t="inlineStr">
        <is>
          <t>Q2 2025</t>
        </is>
      </c>
      <c r="E86" s="12" t="n">
        <v>6618314528</v>
      </c>
      <c r="F86" s="12" t="n">
        <v>-163563795</v>
      </c>
      <c r="G86" s="12" t="n">
        <v>559577770</v>
      </c>
      <c r="H86" s="13">
        <f>IF(OR(E86="",F86=""),"",F86/E86)</f>
        <v/>
      </c>
      <c r="I86" s="13">
        <f>IF(OR(E86="",G86=""),"",G86/E86)</f>
        <v/>
      </c>
      <c r="J86" s="13">
        <f>IF(OR(H86="",I86=""),"",H86+I86)</f>
        <v/>
      </c>
      <c r="K86" s="14" t="inlineStr">
        <is>
          <t>Volkswagen, BMW, Mercedes, Volvo, General Motors</t>
        </is>
      </c>
      <c r="L86" s="14" t="inlineStr">
        <is>
          <t>Interior plastic parts, panels, handles, console components</t>
        </is>
      </c>
      <c r="M86" s="11" t="inlineStr">
        <is>
          <t>Q2 2025</t>
        </is>
      </c>
      <c r="N86" s="14" t="inlineStr">
        <is>
          <t>Yahoo Finance (002048.SZ)</t>
        </is>
      </c>
    </row>
    <row r="87">
      <c r="A87" s="15" t="n">
        <v>690559182</v>
      </c>
      <c r="B87" s="16" t="inlineStr">
        <is>
          <t>TOYODA GOSEI CO LTD</t>
        </is>
      </c>
      <c r="C87" s="17" t="n">
        <v>2</v>
      </c>
      <c r="D87" s="17" t="inlineStr">
        <is>
          <t>FY Mar2025</t>
        </is>
      </c>
      <c r="E87" s="18" t="n">
        <v>6566000000</v>
      </c>
      <c r="F87" s="18" t="n">
        <v>436000000</v>
      </c>
      <c r="G87" s="18" t="n">
        <v>302000000</v>
      </c>
      <c r="H87" s="19">
        <f>IF(OR(E87="",F87=""),"",F87/E87)</f>
        <v/>
      </c>
      <c r="I87" s="19">
        <f>IF(OR(E87="",G87=""),"",G87/E87)</f>
        <v/>
      </c>
      <c r="J87" s="19">
        <f>IF(OR(H87="",I87=""),"",H87+I87)</f>
        <v/>
      </c>
      <c r="K87" s="20" t="inlineStr">
        <is>
          <t>Toyota, Honda, Nissan, Ford, General Motors</t>
        </is>
      </c>
      <c r="L87" s="20" t="inlineStr">
        <is>
          <t>Weather strips, air bags, steering wheels, hoses, LEDs</t>
        </is>
      </c>
      <c r="M87" s="17" t="inlineStr">
        <is>
          <t>FY Mar2025</t>
        </is>
      </c>
      <c r="N87" s="20" t="inlineStr">
        <is>
          <t>Toyoda Gosei FY2024 Annual Report</t>
        </is>
      </c>
    </row>
    <row r="88">
      <c r="A88" s="9" t="n">
        <v>690579347</v>
      </c>
      <c r="B88" s="10" t="inlineStr">
        <is>
          <t>KOITO MANUFACTURING CO LTD</t>
        </is>
      </c>
      <c r="C88" s="11" t="n">
        <v>2</v>
      </c>
      <c r="D88" s="11" t="inlineStr">
        <is>
          <t>FY Mar2025</t>
        </is>
      </c>
      <c r="E88" s="12" t="n">
        <v>6407000000</v>
      </c>
      <c r="F88" s="12" t="n"/>
      <c r="G88" s="12" t="n">
        <v>390000000</v>
      </c>
      <c r="H88" s="13">
        <f>IF(OR(E88="",F88=""),"",F88/E88)</f>
        <v/>
      </c>
      <c r="I88" s="13">
        <f>IF(OR(E88="",G88=""),"",G88/E88)</f>
        <v/>
      </c>
      <c r="J88" s="13">
        <f>IF(OR(H88="",I88=""),"",H88+I88)</f>
        <v/>
      </c>
      <c r="K88" s="14" t="inlineStr">
        <is>
          <t>Toyota, Honda, Subaru</t>
        </is>
      </c>
      <c r="L88" s="14" t="inlineStr">
        <is>
          <t>Headlamps, taillamps, fog lamps, LED lighting assemblies</t>
        </is>
      </c>
      <c r="M88" s="11" t="inlineStr">
        <is>
          <t>FY Mar2025</t>
        </is>
      </c>
      <c r="N88" s="14" t="inlineStr">
        <is>
          <t>Koito FY2024 Annual Report (JPY ~956B)</t>
        </is>
      </c>
    </row>
    <row r="89">
      <c r="A89" s="15" t="n">
        <v>274121531</v>
      </c>
      <c r="B89" s="16" t="inlineStr">
        <is>
          <t>CONSTELLIUM SE</t>
        </is>
      </c>
      <c r="C89" s="17" t="n">
        <v>2</v>
      </c>
      <c r="D89" s="17" t="inlineStr">
        <is>
          <t>Q3 2025</t>
        </is>
      </c>
      <c r="E89" s="18" t="n">
        <v>5614000000</v>
      </c>
      <c r="F89" s="18" t="n">
        <v>221000000</v>
      </c>
      <c r="G89" s="18" t="n"/>
      <c r="H89" s="19">
        <f>IF(OR(E89="",F89=""),"",F89/E89)</f>
        <v/>
      </c>
      <c r="I89" s="19">
        <f>IF(OR(E89="",G89=""),"",G89/E89)</f>
        <v/>
      </c>
      <c r="J89" s="19">
        <f>IF(OR(H89="",I89=""),"",H89+I89)</f>
        <v/>
      </c>
      <c r="K89" s="20" t="inlineStr">
        <is>
          <t>BMW, Mercedes, Ford, Stellantis</t>
        </is>
      </c>
      <c r="L89" s="20" t="inlineStr">
        <is>
          <t>Aluminum auto body sheet, crash management systems, structural profiles</t>
        </is>
      </c>
      <c r="M89" s="17" t="inlineStr">
        <is>
          <t>Q3 2025</t>
        </is>
      </c>
      <c r="N89" s="20" t="inlineStr">
        <is>
          <t>SEC 10-Q</t>
        </is>
      </c>
    </row>
    <row r="90">
      <c r="A90" s="9" t="n">
        <v>527651909</v>
      </c>
      <c r="B90" s="10" t="inlineStr">
        <is>
          <t>NINGBO JIFENG AUTO PARTS CO LTD</t>
        </is>
      </c>
      <c r="C90" s="11" t="n">
        <v>2</v>
      </c>
      <c r="D90" s="11" t="inlineStr">
        <is>
          <t>Q2 2025</t>
        </is>
      </c>
      <c r="E90" s="12" t="n">
        <v>5486016977</v>
      </c>
      <c r="F90" s="12" t="n">
        <v>-252904721</v>
      </c>
      <c r="G90" s="12" t="n">
        <v>105608363</v>
      </c>
      <c r="H90" s="13">
        <f>IF(OR(E90="",F90=""),"",F90/E90)</f>
        <v/>
      </c>
      <c r="I90" s="13">
        <f>IF(OR(E90="",G90=""),"",G90/E90)</f>
        <v/>
      </c>
      <c r="J90" s="13">
        <f>IF(OR(H90="",I90=""),"",H90+I90)</f>
        <v/>
      </c>
      <c r="K90" s="14" t="inlineStr">
        <is>
          <t>BMW, Audi, Volkswagen, General Motors, Tesla, Ford</t>
        </is>
      </c>
      <c r="L90" s="14" t="inlineStr">
        <is>
          <t>Automotive seat components, headrests, armrests, seat structural parts</t>
        </is>
      </c>
      <c r="M90" s="11" t="inlineStr">
        <is>
          <t>Q2 2025</t>
        </is>
      </c>
      <c r="N90" s="14" t="inlineStr">
        <is>
          <t>Yahoo Finance (603997.SS)</t>
        </is>
      </c>
    </row>
    <row r="91">
      <c r="A91" s="15" t="n">
        <v>690644448</v>
      </c>
      <c r="B91" s="16" t="inlineStr">
        <is>
          <t>UACJ CORP</t>
        </is>
      </c>
      <c r="C91" s="17" t="n">
        <v>2</v>
      </c>
      <c r="D91" s="17" t="inlineStr">
        <is>
          <t>FY Mar2025</t>
        </is>
      </c>
      <c r="E91" s="18" t="n">
        <v>5450000000</v>
      </c>
      <c r="F91" s="18" t="n">
        <v>290000000</v>
      </c>
      <c r="G91" s="18" t="n">
        <v>280000000</v>
      </c>
      <c r="H91" s="19">
        <f>IF(OR(E91="",F91=""),"",F91/E91)</f>
        <v/>
      </c>
      <c r="I91" s="19">
        <f>IF(OR(E91="",G91=""),"",G91/E91)</f>
        <v/>
      </c>
      <c r="J91" s="19">
        <f>IF(OR(H91="",I91=""),"",H91+I91)</f>
        <v/>
      </c>
      <c r="K91" s="20" t="inlineStr">
        <is>
          <t>General Motors, Toyota, Tesla, Ford, Honda</t>
        </is>
      </c>
      <c r="L91" s="20" t="inlineStr">
        <is>
          <t>Aluminum flat-rolled products, aluminum auto body sheet</t>
        </is>
      </c>
      <c r="M91" s="17" t="inlineStr">
        <is>
          <t>FY Mar2025</t>
        </is>
      </c>
      <c r="N91" s="20" t="inlineStr">
        <is>
          <t>UACJ FY2024 Annual Report (JPY ~813B)</t>
        </is>
      </c>
    </row>
    <row r="92">
      <c r="A92" s="9" t="n">
        <v>690547641</v>
      </c>
      <c r="B92" s="10" t="inlineStr">
        <is>
          <t>ALPS ALPINE CO LTD</t>
        </is>
      </c>
      <c r="C92" s="11" t="n">
        <v>2</v>
      </c>
      <c r="D92" s="11" t="inlineStr">
        <is>
          <t>FY Mar2025</t>
        </is>
      </c>
      <c r="E92" s="12" t="n">
        <v>5430000000</v>
      </c>
      <c r="F92" s="12" t="n">
        <v>370000000</v>
      </c>
      <c r="G92" s="12" t="n">
        <v>190000000</v>
      </c>
      <c r="H92" s="13">
        <f>IF(OR(E92="",F92=""),"",F92/E92)</f>
        <v/>
      </c>
      <c r="I92" s="13">
        <f>IF(OR(E92="",G92=""),"",G92/E92)</f>
        <v/>
      </c>
      <c r="J92" s="13">
        <f>IF(OR(H92="",I92=""),"",H92+I92)</f>
        <v/>
      </c>
      <c r="K92" s="14" t="inlineStr">
        <is>
          <t>General Motors, Stellantis, Ford, Volkswagen, Mercedes</t>
        </is>
      </c>
      <c r="L92" s="14" t="inlineStr">
        <is>
          <t>Automotive sensors, HMI switches, radar sensors, power window switches</t>
        </is>
      </c>
      <c r="M92" s="11" t="inlineStr">
        <is>
          <t>FY Mar2025</t>
        </is>
      </c>
      <c r="N92" s="14" t="inlineStr">
        <is>
          <t>Alps Alpine FY2024 Annual Report (JPY ~810B)</t>
        </is>
      </c>
    </row>
    <row r="93">
      <c r="A93" s="15" t="n">
        <v>690537048</v>
      </c>
      <c r="B93" s="16" t="inlineStr">
        <is>
          <t>FUJIKURA LTD</t>
        </is>
      </c>
      <c r="C93" s="17" t="n">
        <v>2</v>
      </c>
      <c r="D93" s="17" t="inlineStr">
        <is>
          <t>FY Mar2025</t>
        </is>
      </c>
      <c r="E93" s="18" t="n">
        <v>5370000000</v>
      </c>
      <c r="F93" s="18" t="n">
        <v>280000000</v>
      </c>
      <c r="G93" s="18" t="n">
        <v>310000000</v>
      </c>
      <c r="H93" s="19">
        <f>IF(OR(E93="",F93=""),"",F93/E93)</f>
        <v/>
      </c>
      <c r="I93" s="19">
        <f>IF(OR(E93="",G93=""),"",G93/E93)</f>
        <v/>
      </c>
      <c r="J93" s="19">
        <f>IF(OR(H93="",I93=""),"",H93+I93)</f>
        <v/>
      </c>
      <c r="K93" s="20" t="inlineStr">
        <is>
          <t>Toyota, Honda, Nissan</t>
        </is>
      </c>
      <c r="L93" s="20" t="inlineStr">
        <is>
          <t>Wiring harnesses, fiber optic cables, power cables</t>
        </is>
      </c>
      <c r="M93" s="17" t="inlineStr">
        <is>
          <t>FY Mar2025</t>
        </is>
      </c>
      <c r="N93" s="20" t="inlineStr">
        <is>
          <t>Fujikura FY2024 Annual Report (JPY ~800B)</t>
        </is>
      </c>
    </row>
    <row r="94">
      <c r="A94" s="9" t="n">
        <v>687953992</v>
      </c>
      <c r="B94" s="10" t="inlineStr">
        <is>
          <t>LS CORP</t>
        </is>
      </c>
      <c r="C94" s="11" t="n">
        <v>2</v>
      </c>
      <c r="D94" s="11" t="inlineStr">
        <is>
          <t>Q3 2025</t>
        </is>
      </c>
      <c r="E94" s="12" t="n">
        <v>5350849489</v>
      </c>
      <c r="F94" s="12" t="n">
        <v>105533942</v>
      </c>
      <c r="G94" s="12" t="n">
        <v>166833480</v>
      </c>
      <c r="H94" s="13">
        <f>IF(OR(E94="",F94=""),"",F94/E94)</f>
        <v/>
      </c>
      <c r="I94" s="13">
        <f>IF(OR(E94="",G94=""),"",G94/E94)</f>
        <v/>
      </c>
      <c r="J94" s="13">
        <f>IF(OR(H94="",I94=""),"",H94+I94)</f>
        <v/>
      </c>
      <c r="K94" s="14" t="inlineStr">
        <is>
          <t>Kia, Ford, Stellantis, Volkswagen, Hyundai, General Motors</t>
        </is>
      </c>
      <c r="L94" s="14" t="inlineStr">
        <is>
          <t>High-voltage EV cables, wire harnesses, busbars, EV charging cables</t>
        </is>
      </c>
      <c r="M94" s="11" t="inlineStr">
        <is>
          <t>Q3 2025</t>
        </is>
      </c>
      <c r="N94" s="14" t="inlineStr">
        <is>
          <t>Yahoo Finance (006260.KS)</t>
        </is>
      </c>
    </row>
    <row r="95">
      <c r="A95" s="15" t="n">
        <v>654675222</v>
      </c>
      <c r="B95" s="16" t="inlineStr">
        <is>
          <t>XIAMEN HONGFA ELECTROACOUSTIC CO</t>
        </is>
      </c>
      <c r="C95" s="17" t="n">
        <v>2</v>
      </c>
      <c r="D95" s="17" t="inlineStr">
        <is>
          <t>Q2 2025</t>
        </is>
      </c>
      <c r="E95" s="18" t="n">
        <v>5257252992</v>
      </c>
      <c r="F95" s="18" t="n">
        <v>-59070114</v>
      </c>
      <c r="G95" s="18" t="n">
        <v>383624725</v>
      </c>
      <c r="H95" s="19">
        <f>IF(OR(E95="",F95=""),"",F95/E95)</f>
        <v/>
      </c>
      <c r="I95" s="19">
        <f>IF(OR(E95="",G95=""),"",G95/E95)</f>
        <v/>
      </c>
      <c r="J95" s="19">
        <f>IF(OR(H95="",I95=""),"",H95+I95)</f>
        <v/>
      </c>
      <c r="K95" s="20" t="inlineStr">
        <is>
          <t>Tesla, Toyota, Volkswagen</t>
        </is>
      </c>
      <c r="L95" s="20" t="inlineStr">
        <is>
          <t>Automotive relays, high-voltage contactors for EVs</t>
        </is>
      </c>
      <c r="M95" s="17" t="inlineStr">
        <is>
          <t>Q2 2025</t>
        </is>
      </c>
      <c r="N95" s="20" t="inlineStr">
        <is>
          <t>Yahoo Finance (601137.SS)</t>
        </is>
      </c>
    </row>
    <row r="96">
      <c r="A96" s="9" t="n">
        <v>690571757</v>
      </c>
      <c r="B96" s="10" t="inlineStr">
        <is>
          <t>MINEBEA MITSUMI INC</t>
        </is>
      </c>
      <c r="C96" s="11" t="n">
        <v>2</v>
      </c>
      <c r="D96" s="11" t="inlineStr">
        <is>
          <t>FY Mar2025</t>
        </is>
      </c>
      <c r="E96" s="12" t="n">
        <v>5140000000</v>
      </c>
      <c r="F96" s="12" t="n">
        <v>290000000</v>
      </c>
      <c r="G96" s="12" t="n">
        <v>290000000</v>
      </c>
      <c r="H96" s="13">
        <f>IF(OR(E96="",F96=""),"",F96/E96)</f>
        <v/>
      </c>
      <c r="I96" s="13">
        <f>IF(OR(E96="",G96=""),"",G96/E96)</f>
        <v/>
      </c>
      <c r="J96" s="13">
        <f>IF(OR(H96="",I96=""),"",H96+I96)</f>
        <v/>
      </c>
      <c r="K96" s="14" t="inlineStr">
        <is>
          <t>Toyota, Honda, Nissan, Ford, Tesla, BMW</t>
        </is>
      </c>
      <c r="L96" s="14" t="inlineStr">
        <is>
          <t>Miniature ball bearings, stepping motors, sensors, LED backlights</t>
        </is>
      </c>
      <c r="M96" s="11" t="inlineStr">
        <is>
          <t>FY Mar2025</t>
        </is>
      </c>
      <c r="N96" s="14" t="inlineStr">
        <is>
          <t>MinebeaMitsumi FY2024 Annual Report (JPY ~767B)</t>
        </is>
      </c>
    </row>
    <row r="97">
      <c r="A97" s="15" t="n">
        <v>690541545</v>
      </c>
      <c r="B97" s="16" t="inlineStr">
        <is>
          <t>NHK SPRING CO LTD</t>
        </is>
      </c>
      <c r="C97" s="17" t="n">
        <v>2</v>
      </c>
      <c r="D97" s="17" t="inlineStr">
        <is>
          <t>FY Mar2025</t>
        </is>
      </c>
      <c r="E97" s="18" t="n">
        <v>4824000000</v>
      </c>
      <c r="F97" s="18" t="n">
        <v>302000000</v>
      </c>
      <c r="G97" s="18" t="n">
        <v>235000000</v>
      </c>
      <c r="H97" s="19">
        <f>IF(OR(E97="",F97=""),"",F97/E97)</f>
        <v/>
      </c>
      <c r="I97" s="19">
        <f>IF(OR(E97="",G97=""),"",G97/E97)</f>
        <v/>
      </c>
      <c r="J97" s="19">
        <f>IF(OR(H97="",I97=""),"",H97+I97)</f>
        <v/>
      </c>
      <c r="K97" s="20" t="inlineStr">
        <is>
          <t>Toyota, Honda, Nissan, Subaru, Mazda, General Motors</t>
        </is>
      </c>
      <c r="L97" s="20" t="inlineStr">
        <is>
          <t>Suspension springs, valve springs, disk springs, anti-vibration systems</t>
        </is>
      </c>
      <c r="M97" s="17" t="inlineStr">
        <is>
          <t>FY Mar2025</t>
        </is>
      </c>
      <c r="N97" s="20" t="inlineStr">
        <is>
          <t>NHK Spring FY2024 Annual Report</t>
        </is>
      </c>
    </row>
    <row r="98">
      <c r="A98" s="9" t="n">
        <v>4465100</v>
      </c>
      <c r="B98" s="10" t="inlineStr">
        <is>
          <t>TIMKEN CO, THE</t>
        </is>
      </c>
      <c r="C98" s="11" t="n">
        <v>2</v>
      </c>
      <c r="D98" s="11" t="inlineStr">
        <is>
          <t>FY2024</t>
        </is>
      </c>
      <c r="E98" s="12" t="n">
        <v>4570000000</v>
      </c>
      <c r="F98" s="12" t="n">
        <v>440000000</v>
      </c>
      <c r="G98" s="12" t="n">
        <v>460000000</v>
      </c>
      <c r="H98" s="13">
        <f>IF(OR(E98="",F98=""),"",F98/E98)</f>
        <v/>
      </c>
      <c r="I98" s="13">
        <f>IF(OR(E98="",G98=""),"",G98/E98)</f>
        <v/>
      </c>
      <c r="J98" s="13">
        <f>IF(OR(H98="",I98=""),"",H98+I98)</f>
        <v/>
      </c>
      <c r="K98" s="14" t="inlineStr">
        <is>
          <t>General Motors</t>
        </is>
      </c>
      <c r="L98" s="14" t="inlineStr">
        <is>
          <t>Tapered roller bearings, spherical roller bearings, driveshaft bearings</t>
        </is>
      </c>
      <c r="M98" s="11" t="inlineStr">
        <is>
          <t>FY2024</t>
        </is>
      </c>
      <c r="N98" s="14" t="inlineStr">
        <is>
          <t>Timken 2024 10-K</t>
        </is>
      </c>
    </row>
    <row r="99">
      <c r="A99" s="15" t="n">
        <v>690536867</v>
      </c>
      <c r="B99" s="16" t="inlineStr">
        <is>
          <t>MITSUBISHI MATERIALS CORP</t>
        </is>
      </c>
      <c r="C99" s="17" t="n">
        <v>2</v>
      </c>
      <c r="D99" s="17" t="inlineStr">
        <is>
          <t>FY Mar2025</t>
        </is>
      </c>
      <c r="E99" s="18" t="n">
        <v>4410000000</v>
      </c>
      <c r="F99" s="18" t="n">
        <v>230000000</v>
      </c>
      <c r="G99" s="18" t="n">
        <v>220000000</v>
      </c>
      <c r="H99" s="19">
        <f>IF(OR(E99="",F99=""),"",F99/E99)</f>
        <v/>
      </c>
      <c r="I99" s="19">
        <f>IF(OR(E99="",G99=""),"",G99/E99)</f>
        <v/>
      </c>
      <c r="J99" s="19">
        <f>IF(OR(H99="",I99=""),"",H99+I99)</f>
        <v/>
      </c>
      <c r="K99" s="20" t="inlineStr">
        <is>
          <t>Toyota, Ford, Nissan, Volkswagen</t>
        </is>
      </c>
      <c r="L99" s="20" t="inlineStr">
        <is>
          <t>Cemented carbide cutting tools, copper alloys, aluminum for auto</t>
        </is>
      </c>
      <c r="M99" s="17" t="inlineStr">
        <is>
          <t>FY Mar2025</t>
        </is>
      </c>
      <c r="N99" s="20" t="inlineStr">
        <is>
          <t>Mitsubishi Materials FY2024 Annual Report</t>
        </is>
      </c>
    </row>
    <row r="100">
      <c r="A100" s="9" t="n">
        <v>471743500</v>
      </c>
      <c r="B100" s="10" t="inlineStr">
        <is>
          <t>CIE AUTOMOTIVE SA</t>
        </is>
      </c>
      <c r="C100" s="11" t="n">
        <v>2</v>
      </c>
      <c r="D100" s="11" t="inlineStr">
        <is>
          <t>FY2024</t>
        </is>
      </c>
      <c r="E100" s="12" t="n">
        <v>4290000000</v>
      </c>
      <c r="F100" s="12" t="n">
        <v>200000000</v>
      </c>
      <c r="G100" s="12" t="n">
        <v>420000000</v>
      </c>
      <c r="H100" s="13">
        <f>IF(OR(E100="",F100=""),"",F100/E100)</f>
        <v/>
      </c>
      <c r="I100" s="13">
        <f>IF(OR(E100="",G100=""),"",G100/E100)</f>
        <v/>
      </c>
      <c r="J100" s="13">
        <f>IF(OR(H100="",I100=""),"",H100+I100)</f>
        <v/>
      </c>
      <c r="K100" s="14" t="inlineStr">
        <is>
          <t>Volkswagen, Stellantis, Ford, BMW, General Motors</t>
        </is>
      </c>
      <c r="L100" s="14" t="inlineStr">
        <is>
          <t>Metal stamped parts, aluminum castings, forge components, plastic/composite parts</t>
        </is>
      </c>
      <c r="M100" s="11" t="inlineStr">
        <is>
          <t>FY2024</t>
        </is>
      </c>
      <c r="N100" s="14" t="inlineStr">
        <is>
          <t>CIE Automotive 2024 Annual Report (EUR ~€3.97B)</t>
        </is>
      </c>
    </row>
    <row r="101">
      <c r="A101" s="15" t="n">
        <v>7140064</v>
      </c>
      <c r="B101" s="16" t="inlineStr">
        <is>
          <t>LEGGETT &amp; PLATT INC</t>
        </is>
      </c>
      <c r="C101" s="17" t="n">
        <v>2</v>
      </c>
      <c r="D101" s="17" t="inlineStr">
        <is>
          <t>FY2024</t>
        </is>
      </c>
      <c r="E101" s="18" t="n">
        <v>4060000000</v>
      </c>
      <c r="F101" s="18" t="n">
        <v>295000000</v>
      </c>
      <c r="G101" s="18" t="n">
        <v>280000000</v>
      </c>
      <c r="H101" s="19">
        <f>IF(OR(E101="",F101=""),"",F101/E101)</f>
        <v/>
      </c>
      <c r="I101" s="19">
        <f>IF(OR(E101="",G101=""),"",G101/E101)</f>
        <v/>
      </c>
      <c r="J101" s="19">
        <f>IF(OR(H101="",I101=""),"",H101+I101)</f>
        <v/>
      </c>
      <c r="K101" s="20" t="inlineStr">
        <is>
          <t>General Motors, Toyota, Ford</t>
        </is>
      </c>
      <c r="L101" s="20" t="inlineStr">
        <is>
          <t>Seat suspension systems, lumbar supports, seat comfort structures</t>
        </is>
      </c>
      <c r="M101" s="17" t="inlineStr">
        <is>
          <t>FY2024</t>
        </is>
      </c>
      <c r="N101" s="20" t="inlineStr">
        <is>
          <t>Leggett &amp; Platt 2024 10-K</t>
        </is>
      </c>
    </row>
    <row r="102">
      <c r="A102" s="9" t="n">
        <v>530750454</v>
      </c>
      <c r="B102" s="10" t="inlineStr">
        <is>
          <t>ZHEJIANG WANFENG AUTO WHEEL CO LTD</t>
        </is>
      </c>
      <c r="C102" s="11" t="n">
        <v>2</v>
      </c>
      <c r="D102" s="11" t="inlineStr">
        <is>
          <t>Q2 2025</t>
        </is>
      </c>
      <c r="E102" s="12" t="n">
        <v>3927246135</v>
      </c>
      <c r="F102" s="12" t="n">
        <v>-62339367</v>
      </c>
      <c r="G102" s="12" t="n">
        <v>386813261</v>
      </c>
      <c r="H102" s="13">
        <f>IF(OR(E102="",F102=""),"",F102/E102)</f>
        <v/>
      </c>
      <c r="I102" s="13">
        <f>IF(OR(E102="",G102=""),"",G102/E102)</f>
        <v/>
      </c>
      <c r="J102" s="13">
        <f>IF(OR(H102="",I102=""),"",H102+I102)</f>
        <v/>
      </c>
      <c r="K102" s="14" t="inlineStr">
        <is>
          <t>Mercedes, BMW, Volkswagen, General Motors, Ford, Stellantis</t>
        </is>
      </c>
      <c r="L102" s="14" t="inlineStr">
        <is>
          <t>Aluminum alloy wheels, magnesium wheels</t>
        </is>
      </c>
      <c r="M102" s="11" t="inlineStr">
        <is>
          <t>Q2 2025</t>
        </is>
      </c>
      <c r="N102" s="14" t="inlineStr">
        <is>
          <t>Yahoo Finance (002085.SZ)</t>
        </is>
      </c>
    </row>
    <row r="103">
      <c r="A103" s="15" t="n">
        <v>220607205</v>
      </c>
      <c r="B103" s="16" t="inlineStr">
        <is>
          <t>TI FLUID SYSTEMS PLC</t>
        </is>
      </c>
      <c r="C103" s="17" t="n">
        <v>2</v>
      </c>
      <c r="D103" s="17" t="inlineStr">
        <is>
          <t>FY2024</t>
        </is>
      </c>
      <c r="E103" s="18" t="n">
        <v>3840000000</v>
      </c>
      <c r="F103" s="18" t="n">
        <v>155000000</v>
      </c>
      <c r="G103" s="18" t="n">
        <v>195000000</v>
      </c>
      <c r="H103" s="19">
        <f>IF(OR(E103="",F103=""),"",F103/E103)</f>
        <v/>
      </c>
      <c r="I103" s="19">
        <f>IF(OR(E103="",G103=""),"",G103/E103)</f>
        <v/>
      </c>
      <c r="J103" s="19">
        <f>IF(OR(H103="",I103=""),"",H103+I103)</f>
        <v/>
      </c>
      <c r="K103" s="20" t="inlineStr">
        <is>
          <t>Volkswagen, Stellantis, Ford, BMW, General Motors</t>
        </is>
      </c>
      <c r="L103" s="20" t="inlineStr">
        <is>
          <t>Fuel delivery systems, brake &amp; fluid lines, thermal management tubes</t>
        </is>
      </c>
      <c r="M103" s="17" t="inlineStr">
        <is>
          <t>FY2024</t>
        </is>
      </c>
      <c r="N103" s="20" t="inlineStr">
        <is>
          <t>TI Fluid Systems 2024 Annual Report (GBP ~£3.0B)</t>
        </is>
      </c>
    </row>
    <row r="104">
      <c r="A104" s="9" t="n">
        <v>875648826</v>
      </c>
      <c r="B104" s="10" t="inlineStr">
        <is>
          <t>JOHNSON ELECTRIC HOLDINGS LIMITED</t>
        </is>
      </c>
      <c r="C104" s="11" t="n">
        <v>2</v>
      </c>
      <c r="D104" s="11" t="inlineStr">
        <is>
          <t>FY Mar2025</t>
        </is>
      </c>
      <c r="E104" s="12" t="n">
        <v>3820000000</v>
      </c>
      <c r="F104" s="12" t="n">
        <v>330000000</v>
      </c>
      <c r="G104" s="12" t="n">
        <v>220000000</v>
      </c>
      <c r="H104" s="13">
        <f>IF(OR(E104="",F104=""),"",F104/E104)</f>
        <v/>
      </c>
      <c r="I104" s="13">
        <f>IF(OR(E104="",G104=""),"",G104/E104)</f>
        <v/>
      </c>
      <c r="J104" s="13">
        <f>IF(OR(H104="",I104=""),"",H104+I104)</f>
        <v/>
      </c>
      <c r="K104" s="14" t="inlineStr">
        <is>
          <t>Ford, Volkswagen, General Motors</t>
        </is>
      </c>
      <c r="L104" s="14" t="inlineStr">
        <is>
          <t>DC motors, actuators, solenoids for windows/doors/HVAC</t>
        </is>
      </c>
      <c r="M104" s="11" t="inlineStr">
        <is>
          <t>FY Mar2025</t>
        </is>
      </c>
      <c r="N104" s="14" t="inlineStr">
        <is>
          <t>Johnson Electric FY2024 Annual Report (HKD ~30B)</t>
        </is>
      </c>
    </row>
    <row r="105">
      <c r="A105" s="15" t="n">
        <v>420810582</v>
      </c>
      <c r="B105" s="16" t="inlineStr">
        <is>
          <t>ZHEJIANG YINLUN MACHINERY CO LTD</t>
        </is>
      </c>
      <c r="C105" s="17" t="n">
        <v>2</v>
      </c>
      <c r="D105" s="17" t="inlineStr">
        <is>
          <t>Q2 2025</t>
        </is>
      </c>
      <c r="E105" s="18" t="n">
        <v>3751366118</v>
      </c>
      <c r="F105" s="18" t="n">
        <v>-32772239</v>
      </c>
      <c r="G105" s="18" t="n">
        <v>317930743</v>
      </c>
      <c r="H105" s="19">
        <f>IF(OR(E105="",F105=""),"",F105/E105)</f>
        <v/>
      </c>
      <c r="I105" s="19">
        <f>IF(OR(E105="",G105=""),"",G105/E105)</f>
        <v/>
      </c>
      <c r="J105" s="19">
        <f>IF(OR(H105="",I105=""),"",H105+I105)</f>
        <v/>
      </c>
      <c r="K105" s="20" t="inlineStr">
        <is>
          <t>Tesla, Volkswagen, General Motors, Ford</t>
        </is>
      </c>
      <c r="L105" s="20" t="inlineStr">
        <is>
          <t>EV battery thermal management, heat exchangers, coolers</t>
        </is>
      </c>
      <c r="M105" s="17" t="inlineStr">
        <is>
          <t>Q2 2025</t>
        </is>
      </c>
      <c r="N105" s="20" t="inlineStr">
        <is>
          <t>Yahoo Finance (002126.SZ)</t>
        </is>
      </c>
    </row>
    <row r="106">
      <c r="A106" s="9" t="n">
        <v>898699483</v>
      </c>
      <c r="B106" s="10" t="inlineStr">
        <is>
          <t>IOCHPE MAXION SA</t>
        </is>
      </c>
      <c r="C106" s="11" t="n">
        <v>2</v>
      </c>
      <c r="D106" s="11" t="inlineStr">
        <is>
          <t>Q4 2025</t>
        </is>
      </c>
      <c r="E106" s="12" t="n">
        <v>3519120000</v>
      </c>
      <c r="F106" s="12" t="n">
        <v>219360000</v>
      </c>
      <c r="G106" s="12" t="n">
        <v>189888000</v>
      </c>
      <c r="H106" s="13">
        <f>IF(OR(E106="",F106=""),"",F106/E106)</f>
        <v/>
      </c>
      <c r="I106" s="13">
        <f>IF(OR(E106="",G106=""),"",G106/E106)</f>
        <v/>
      </c>
      <c r="J106" s="13">
        <f>IF(OR(H106="",I106=""),"",H106+I106)</f>
        <v/>
      </c>
      <c r="K106" s="14" t="inlineStr">
        <is>
          <t>Volkswagen, Stellantis, General Motors, Ford, Toyota</t>
        </is>
      </c>
      <c r="L106" s="14" t="inlineStr">
        <is>
          <t>Steel wheels, aluminum wheels, truck chassis frames</t>
        </is>
      </c>
      <c r="M106" s="11" t="inlineStr">
        <is>
          <t>Q4 2025</t>
        </is>
      </c>
      <c r="N106" s="14" t="inlineStr">
        <is>
          <t>Yahoo Finance (MYPK3.SA)</t>
        </is>
      </c>
    </row>
    <row r="107">
      <c r="A107" s="15" t="n">
        <v>690569256</v>
      </c>
      <c r="B107" s="16" t="inlineStr">
        <is>
          <t>NITERRA CO LTD</t>
        </is>
      </c>
      <c r="C107" s="17" t="n">
        <v>2</v>
      </c>
      <c r="D107" s="17" t="inlineStr">
        <is>
          <t>FY Mar2025</t>
        </is>
      </c>
      <c r="E107" s="18" t="n">
        <v>3484000000</v>
      </c>
      <c r="F107" s="18" t="n">
        <v>369000000</v>
      </c>
      <c r="G107" s="18" t="n">
        <v>348000000</v>
      </c>
      <c r="H107" s="19">
        <f>IF(OR(E107="",F107=""),"",F107/E107)</f>
        <v/>
      </c>
      <c r="I107" s="19">
        <f>IF(OR(E107="",G107=""),"",G107/E107)</f>
        <v/>
      </c>
      <c r="J107" s="19">
        <f>IF(OR(H107="",I107=""),"",H107+I107)</f>
        <v/>
      </c>
      <c r="K107" s="20" t="inlineStr">
        <is>
          <t>Toyota, Honda, Volkswagen, Ford, General Motors</t>
        </is>
      </c>
      <c r="L107" s="20" t="inlineStr">
        <is>
          <t>Spark plugs, glow plugs, oxygen sensors, temperature sensors</t>
        </is>
      </c>
      <c r="M107" s="17" t="inlineStr">
        <is>
          <t>FY Mar2025</t>
        </is>
      </c>
      <c r="N107" s="20" t="inlineStr">
        <is>
          <t>Niterra FY2024 Annual Report</t>
        </is>
      </c>
    </row>
    <row r="108">
      <c r="A108" s="9" t="n">
        <v>300209194</v>
      </c>
      <c r="B108" s="10" t="inlineStr">
        <is>
          <t>AMS AG</t>
        </is>
      </c>
      <c r="C108" s="11" t="n">
        <v>2</v>
      </c>
      <c r="D108" s="11" t="inlineStr">
        <is>
          <t>FY2024</t>
        </is>
      </c>
      <c r="E108" s="12" t="n">
        <v>3440000000</v>
      </c>
      <c r="F108" s="12" t="n">
        <v>330000000</v>
      </c>
      <c r="G108" s="12" t="n">
        <v>-640000000</v>
      </c>
      <c r="H108" s="13">
        <f>IF(OR(E108="",F108=""),"",F108/E108)</f>
        <v/>
      </c>
      <c r="I108" s="13">
        <f>IF(OR(E108="",G108=""),"",G108/E108)</f>
        <v/>
      </c>
      <c r="J108" s="13">
        <f>IF(OR(H108="",I108=""),"",H108+I108)</f>
        <v/>
      </c>
      <c r="K108" s="14" t="inlineStr">
        <is>
          <t>Stellantis</t>
        </is>
      </c>
      <c r="L108" s="14" t="inlineStr">
        <is>
          <t>Optical sensors, ambient light sensors, lidar, automotive lighting</t>
        </is>
      </c>
      <c r="M108" s="11" t="inlineStr">
        <is>
          <t>FY2024</t>
        </is>
      </c>
      <c r="N108" s="14" t="inlineStr">
        <is>
          <t>ams-OSRAM 2024 Annual Report (EUR ~€3.2B)</t>
        </is>
      </c>
    </row>
    <row r="109">
      <c r="A109" s="15" t="n">
        <v>690550454</v>
      </c>
      <c r="B109" s="16" t="inlineStr">
        <is>
          <t>NOK CORPORATION</t>
        </is>
      </c>
      <c r="C109" s="17" t="n">
        <v>2</v>
      </c>
      <c r="D109" s="17" t="inlineStr">
        <is>
          <t>FY Mar2025</t>
        </is>
      </c>
      <c r="E109" s="18" t="n">
        <v>3270000000</v>
      </c>
      <c r="F109" s="18" t="n">
        <v>175000000</v>
      </c>
      <c r="G109" s="18" t="n">
        <v>175000000</v>
      </c>
      <c r="H109" s="19">
        <f>IF(OR(E109="",F109=""),"",F109/E109)</f>
        <v/>
      </c>
      <c r="I109" s="19">
        <f>IF(OR(E109="",G109=""),"",G109/E109)</f>
        <v/>
      </c>
      <c r="J109" s="19">
        <f>IF(OR(H109="",I109=""),"",H109+I109)</f>
        <v/>
      </c>
      <c r="K109" s="20" t="inlineStr">
        <is>
          <t>Toyota, Nissan, Honda, Volkswagen, General Motors</t>
        </is>
      </c>
      <c r="L109" s="20" t="inlineStr">
        <is>
          <t>Oil seals, O-rings, sealing solutions, EV motor seals</t>
        </is>
      </c>
      <c r="M109" s="17" t="inlineStr">
        <is>
          <t>FY Mar2025</t>
        </is>
      </c>
      <c r="N109" s="20" t="inlineStr">
        <is>
          <t>NOK Corporation FY2024 Annual Report (JPY ~488B)</t>
        </is>
      </c>
    </row>
    <row r="110">
      <c r="A110" s="9" t="n">
        <v>1315266</v>
      </c>
      <c r="B110" s="10" t="inlineStr">
        <is>
          <t>STANDARD MOTOR PRODUCTS INC</t>
        </is>
      </c>
      <c r="C110" s="11" t="n">
        <v>2</v>
      </c>
      <c r="D110" s="11" t="inlineStr">
        <is>
          <t>FY2024</t>
        </is>
      </c>
      <c r="E110" s="12" t="n">
        <v>3218000000</v>
      </c>
      <c r="F110" s="12" t="n">
        <v>396000000</v>
      </c>
      <c r="G110" s="12" t="n">
        <v>156000000</v>
      </c>
      <c r="H110" s="13">
        <f>IF(OR(E110="",F110=""),"",F110/E110)</f>
        <v/>
      </c>
      <c r="I110" s="13">
        <f>IF(OR(E110="",G110=""),"",G110/E110)</f>
        <v/>
      </c>
      <c r="J110" s="13">
        <f>IF(OR(H110="",I110=""),"",H110+I110)</f>
        <v/>
      </c>
      <c r="K110" s="14" t="inlineStr">
        <is>
          <t>Ford, General Motors, Volvo</t>
        </is>
      </c>
      <c r="L110" s="14" t="inlineStr">
        <is>
          <t>Ignition coils, sensors, fuel injectors, EGR components, engine management</t>
        </is>
      </c>
      <c r="M110" s="11" t="inlineStr">
        <is>
          <t>FY2024</t>
        </is>
      </c>
      <c r="N110" s="14" t="inlineStr">
        <is>
          <t>Standard Motor Products 2024 10-K</t>
        </is>
      </c>
    </row>
    <row r="111">
      <c r="A111" s="15" t="n">
        <v>864393322</v>
      </c>
      <c r="B111" s="16" t="inlineStr">
        <is>
          <t>MINTH GROUP LTD</t>
        </is>
      </c>
      <c r="C111" s="17" t="n">
        <v>2</v>
      </c>
      <c r="D111" s="17" t="inlineStr">
        <is>
          <t>FY2024</t>
        </is>
      </c>
      <c r="E111" s="18" t="n">
        <v>3090000000</v>
      </c>
      <c r="F111" s="18" t="n">
        <v>155000000</v>
      </c>
      <c r="G111" s="18" t="n">
        <v>320000000</v>
      </c>
      <c r="H111" s="19">
        <f>IF(OR(E111="",F111=""),"",F111/E111)</f>
        <v/>
      </c>
      <c r="I111" s="19">
        <f>IF(OR(E111="",G111=""),"",G111/E111)</f>
        <v/>
      </c>
      <c r="J111" s="19">
        <f>IF(OR(H111="",I111=""),"",H111+I111)</f>
        <v/>
      </c>
      <c r="K111" s="20" t="inlineStr">
        <is>
          <t>Tesla, General Motors, Toyota, Mercedes, Volkswagen</t>
        </is>
      </c>
      <c r="L111" s="20" t="inlineStr">
        <is>
          <t>Decorative trim strips, door frame sealing, EV battery enclosures, structural parts</t>
        </is>
      </c>
      <c r="M111" s="17" t="inlineStr">
        <is>
          <t>FY2024</t>
        </is>
      </c>
      <c r="N111" s="20" t="inlineStr">
        <is>
          <t>Minth Group 2024 Annual Report (HKD ~24B)</t>
        </is>
      </c>
    </row>
    <row r="112">
      <c r="A112" s="9" t="n">
        <v>690538541</v>
      </c>
      <c r="B112" s="10" t="inlineStr">
        <is>
          <t>SUMITOMO RIKO COMPANY LTD</t>
        </is>
      </c>
      <c r="C112" s="11" t="n">
        <v>2</v>
      </c>
      <c r="D112" s="11" t="inlineStr">
        <is>
          <t>FY Mar2025</t>
        </is>
      </c>
      <c r="E112" s="12" t="n">
        <v>3090000000</v>
      </c>
      <c r="F112" s="12" t="n">
        <v>155000000</v>
      </c>
      <c r="G112" s="12" t="n">
        <v>145000000</v>
      </c>
      <c r="H112" s="13">
        <f>IF(OR(E112="",F112=""),"",F112/E112)</f>
        <v/>
      </c>
      <c r="I112" s="13">
        <f>IF(OR(E112="",G112=""),"",G112/E112)</f>
        <v/>
      </c>
      <c r="J112" s="13">
        <f>IF(OR(H112="",I112=""),"",H112+I112)</f>
        <v/>
      </c>
      <c r="K112" s="14" t="inlineStr">
        <is>
          <t>Honda, Nissan, General Motors, BMW, Mercedes, Mazda</t>
        </is>
      </c>
      <c r="L112" s="14" t="inlineStr">
        <is>
          <t>Anti-vibration rubber, hoses, sealing products, interior parts</t>
        </is>
      </c>
      <c r="M112" s="11" t="inlineStr">
        <is>
          <t>FY Mar2025</t>
        </is>
      </c>
      <c r="N112" s="14" t="inlineStr">
        <is>
          <t>Sumitomo Riko FY2024 Annual Report (JPY ~461B)</t>
        </is>
      </c>
    </row>
    <row r="113">
      <c r="A113" s="15" t="n">
        <v>690550637</v>
      </c>
      <c r="B113" s="16" t="inlineStr">
        <is>
          <t>STANLEY ELECTRIC CO LTD</t>
        </is>
      </c>
      <c r="C113" s="17" t="n">
        <v>2</v>
      </c>
      <c r="D113" s="17" t="inlineStr">
        <is>
          <t>FY Mar2025</t>
        </is>
      </c>
      <c r="E113" s="18" t="n">
        <v>2940000000</v>
      </c>
      <c r="F113" s="18" t="n">
        <v>155000000</v>
      </c>
      <c r="G113" s="18" t="n">
        <v>195000000</v>
      </c>
      <c r="H113" s="19">
        <f>IF(OR(E113="",F113=""),"",F113/E113)</f>
        <v/>
      </c>
      <c r="I113" s="19">
        <f>IF(OR(E113="",G113=""),"",G113/E113)</f>
        <v/>
      </c>
      <c r="J113" s="19">
        <f>IF(OR(H113="",I113=""),"",H113+I113)</f>
        <v/>
      </c>
      <c r="K113" s="20" t="inlineStr">
        <is>
          <t>Honda, Toyota, Subaru</t>
        </is>
      </c>
      <c r="L113" s="20" t="inlineStr">
        <is>
          <t>Headlamps, taillamps, fog lamps, LED assemblies</t>
        </is>
      </c>
      <c r="M113" s="17" t="inlineStr">
        <is>
          <t>FY Mar2025</t>
        </is>
      </c>
      <c r="N113" s="20" t="inlineStr">
        <is>
          <t>Stanley Electric FY2024 Annual Report (JPY ~439B)</t>
        </is>
      </c>
    </row>
    <row r="114">
      <c r="A114" s="9" t="n">
        <v>7871643</v>
      </c>
      <c r="B114" s="10" t="inlineStr">
        <is>
          <t>LCI INDUSTRIES</t>
        </is>
      </c>
      <c r="C114" s="11" t="n">
        <v>2</v>
      </c>
      <c r="D114" s="11" t="inlineStr">
        <is>
          <t>Q3 2025</t>
        </is>
      </c>
      <c r="E114" s="12" t="n">
        <v>2938070000</v>
      </c>
      <c r="F114" s="12" t="n">
        <v>508206000</v>
      </c>
      <c r="G114" s="12" t="n">
        <v>202103000</v>
      </c>
      <c r="H114" s="13">
        <f>IF(OR(E114="",F114=""),"",F114/E114)</f>
        <v/>
      </c>
      <c r="I114" s="13">
        <f>IF(OR(E114="",G114=""),"",G114/E114)</f>
        <v/>
      </c>
      <c r="J114" s="13">
        <f>IF(OR(H114="",I114=""),"",H114+I114)</f>
        <v/>
      </c>
      <c r="K114" s="14" t="inlineStr">
        <is>
          <t>General Motors, Ford, Stellantis</t>
        </is>
      </c>
      <c r="L114" s="14" t="inlineStr">
        <is>
          <t>Chassis components, slide-outs, leveling systems for trucks/RVs</t>
        </is>
      </c>
      <c r="M114" s="11" t="inlineStr">
        <is>
          <t>Q3 2025</t>
        </is>
      </c>
      <c r="N114" s="14" t="inlineStr">
        <is>
          <t>SEC 10-Q</t>
        </is>
      </c>
    </row>
    <row r="115">
      <c r="A115" s="15" t="n">
        <v>80267418</v>
      </c>
      <c r="B115" s="16" t="inlineStr">
        <is>
          <t>ITT INC</t>
        </is>
      </c>
      <c r="C115" s="17" t="n">
        <v>2</v>
      </c>
      <c r="D115" s="17" t="inlineStr">
        <is>
          <t>Q3 2025</t>
        </is>
      </c>
      <c r="E115" s="18" t="n">
        <v>2701700000</v>
      </c>
      <c r="F115" s="18" t="n"/>
      <c r="G115" s="18" t="n">
        <v>518200000</v>
      </c>
      <c r="H115" s="19">
        <f>IF(OR(E115="",F115=""),"",F115/E115)</f>
        <v/>
      </c>
      <c r="I115" s="19">
        <f>IF(OR(E115="",G115=""),"",G115/E115)</f>
        <v/>
      </c>
      <c r="J115" s="19">
        <f>IF(OR(H115="",I115=""),"",H115+I115)</f>
        <v/>
      </c>
      <c r="K115" s="20" t="inlineStr">
        <is>
          <t>Volkswagen, BMW, Mercedes, Stellantis</t>
        </is>
      </c>
      <c r="L115" s="20" t="inlineStr">
        <is>
          <t>Brake pads, EV regenerative brake pads, connectors</t>
        </is>
      </c>
      <c r="M115" s="17" t="inlineStr">
        <is>
          <t>Q3 2025</t>
        </is>
      </c>
      <c r="N115" s="20" t="inlineStr">
        <is>
          <t>SEC 10-Q</t>
        </is>
      </c>
    </row>
    <row r="116">
      <c r="A116" s="9" t="n">
        <v>898699483</v>
      </c>
      <c r="B116" s="10" t="inlineStr">
        <is>
          <t>TUPY S/A</t>
        </is>
      </c>
      <c r="C116" s="11" t="n">
        <v>2</v>
      </c>
      <c r="D116" s="11" t="inlineStr">
        <is>
          <t>Q2 2025</t>
        </is>
      </c>
      <c r="E116" s="12" t="n">
        <v>2627369000</v>
      </c>
      <c r="F116" s="12" t="n">
        <v>250255000</v>
      </c>
      <c r="G116" s="12" t="n">
        <v>86266000</v>
      </c>
      <c r="H116" s="13">
        <f>IF(OR(E116="",F116=""),"",F116/E116)</f>
        <v/>
      </c>
      <c r="I116" s="13">
        <f>IF(OR(E116="",G116=""),"",G116/E116)</f>
        <v/>
      </c>
      <c r="J116" s="13">
        <f>IF(OR(H116="",I116=""),"",H116+I116)</f>
        <v/>
      </c>
      <c r="K116" s="14" t="inlineStr">
        <is>
          <t>General Motors, Ford, Stellantis, Volkswagen</t>
        </is>
      </c>
      <c r="L116" s="14" t="inlineStr">
        <is>
          <t>Gray iron castings, ductile iron castings, engine blocks, cylinder heads</t>
        </is>
      </c>
      <c r="M116" s="11" t="inlineStr">
        <is>
          <t>Q2 2025</t>
        </is>
      </c>
      <c r="N116" s="14" t="inlineStr">
        <is>
          <t>Yahoo Finance (TUPY3.SA)</t>
        </is>
      </c>
    </row>
    <row r="117">
      <c r="A117" s="15" t="n">
        <v>690679840</v>
      </c>
      <c r="B117" s="16" t="inlineStr">
        <is>
          <t>MUSASHI SEIMITSU INDUSTRY CO LTD</t>
        </is>
      </c>
      <c r="C117" s="17" t="n">
        <v>2</v>
      </c>
      <c r="D117" s="17" t="inlineStr">
        <is>
          <t>FY Mar2025</t>
        </is>
      </c>
      <c r="E117" s="18" t="n">
        <v>2480000000</v>
      </c>
      <c r="F117" s="18" t="n">
        <v>120000000</v>
      </c>
      <c r="G117" s="18" t="n">
        <v>115000000</v>
      </c>
      <c r="H117" s="19">
        <f>IF(OR(E117="",F117=""),"",F117/E117)</f>
        <v/>
      </c>
      <c r="I117" s="19">
        <f>IF(OR(E117="",G117=""),"",G117/E117)</f>
        <v/>
      </c>
      <c r="J117" s="19">
        <f>IF(OR(H117="",I117=""),"",H117+I117)</f>
        <v/>
      </c>
      <c r="K117" s="20" t="inlineStr">
        <is>
          <t>Toyota, Honda, Mitsubishi, Suzuki, General Motors</t>
        </is>
      </c>
      <c r="L117" s="20" t="inlineStr">
        <is>
          <t>Forged steel parts, differential gears, EV drivetrain components</t>
        </is>
      </c>
      <c r="M117" s="17" t="inlineStr">
        <is>
          <t>FY Mar2025</t>
        </is>
      </c>
      <c r="N117" s="20" t="inlineStr">
        <is>
          <t>Musashi Seimitsu FY2024 Annual Report (JPY ~370B)</t>
        </is>
      </c>
    </row>
    <row r="118">
      <c r="A118" s="9" t="n">
        <v>6092555</v>
      </c>
      <c r="B118" s="10" t="inlineStr">
        <is>
          <t>MODINE MANUFACTURING CO</t>
        </is>
      </c>
      <c r="C118" s="11" t="n">
        <v>2</v>
      </c>
      <c r="D118" s="11" t="inlineStr">
        <is>
          <t>FY Mar2025</t>
        </is>
      </c>
      <c r="E118" s="12" t="n">
        <v>2454000000</v>
      </c>
      <c r="F118" s="12" t="n">
        <v>185000000</v>
      </c>
      <c r="G118" s="12" t="n">
        <v>280000000</v>
      </c>
      <c r="H118" s="13">
        <f>IF(OR(E118="",F118=""),"",F118/E118)</f>
        <v/>
      </c>
      <c r="I118" s="13">
        <f>IF(OR(E118="",G118=""),"",G118/E118)</f>
        <v/>
      </c>
      <c r="J118" s="13">
        <f>IF(OR(H118="",I118=""),"",H118+I118)</f>
        <v/>
      </c>
      <c r="K118" s="14" t="inlineStr">
        <is>
          <t>Stellantis, Ford, Tesla</t>
        </is>
      </c>
      <c r="L118" s="14" t="inlineStr">
        <is>
          <t>Radiators, oil coolers, charge air coolers, EV thermal modules</t>
        </is>
      </c>
      <c r="M118" s="11" t="inlineStr">
        <is>
          <t>FY Mar2025</t>
        </is>
      </c>
      <c r="N118" s="14" t="inlineStr">
        <is>
          <t>Modine FY2024 10-K</t>
        </is>
      </c>
    </row>
    <row r="119">
      <c r="A119" s="15" t="n">
        <v>266873780</v>
      </c>
      <c r="B119" s="16" t="inlineStr">
        <is>
          <t>ARKEMA</t>
        </is>
      </c>
      <c r="C119" s="17" t="n">
        <v>2</v>
      </c>
      <c r="D119" s="17" t="inlineStr">
        <is>
          <t>Q4 2025</t>
        </is>
      </c>
      <c r="E119" s="18" t="n">
        <v>2412607342</v>
      </c>
      <c r="F119" s="18" t="n">
        <v>244126064</v>
      </c>
      <c r="G119" s="18" t="n">
        <v>28653294</v>
      </c>
      <c r="H119" s="19">
        <f>IF(OR(E119="",F119=""),"",F119/E119)</f>
        <v/>
      </c>
      <c r="I119" s="19">
        <f>IF(OR(E119="",G119=""),"",G119/E119)</f>
        <v/>
      </c>
      <c r="J119" s="19">
        <f>IF(OR(H119="",I119=""),"",H119+I119)</f>
        <v/>
      </c>
      <c r="K119" s="20" t="inlineStr">
        <is>
          <t>Volkswagen, BMW, Stellantis</t>
        </is>
      </c>
      <c r="L119" s="20" t="inlineStr">
        <is>
          <t>Specialty polymer powders, bio-based polyamides, auto lightweighting materials</t>
        </is>
      </c>
      <c r="M119" s="17" t="inlineStr">
        <is>
          <t>Q4 2025</t>
        </is>
      </c>
      <c r="N119" s="20" t="inlineStr">
        <is>
          <t>Yahoo Finance (AKE.PA)</t>
        </is>
      </c>
    </row>
    <row r="120">
      <c r="A120" s="9" t="n">
        <v>353957822</v>
      </c>
      <c r="B120" s="10" t="inlineStr">
        <is>
          <t>SSAB AB</t>
        </is>
      </c>
      <c r="C120" s="11" t="n">
        <v>2</v>
      </c>
      <c r="D120" s="11" t="inlineStr">
        <is>
          <t>Q4 2025</t>
        </is>
      </c>
      <c r="E120" s="12" t="n">
        <v>2351201810</v>
      </c>
      <c r="F120" s="12" t="n">
        <v>170601995</v>
      </c>
      <c r="G120" s="12" t="n">
        <v>77962134</v>
      </c>
      <c r="H120" s="13">
        <f>IF(OR(E120="",F120=""),"",F120/E120)</f>
        <v/>
      </c>
      <c r="I120" s="13">
        <f>IF(OR(E120="",G120=""),"",G120/E120)</f>
        <v/>
      </c>
      <c r="J120" s="13">
        <f>IF(OR(H120="",I120=""),"",H120+I120)</f>
        <v/>
      </c>
      <c r="K120" s="14" t="inlineStr">
        <is>
          <t>Volvo</t>
        </is>
      </c>
      <c r="L120" s="14" t="inlineStr">
        <is>
          <t>High-strength steel sheet, wear-resistant steel, structural steel</t>
        </is>
      </c>
      <c r="M120" s="11" t="inlineStr">
        <is>
          <t>Q4 2025</t>
        </is>
      </c>
      <c r="N120" s="14" t="inlineStr">
        <is>
          <t>Yahoo Finance (SSAB-A.ST)</t>
        </is>
      </c>
    </row>
    <row r="121">
      <c r="A121" s="15" t="n">
        <v>5212246</v>
      </c>
      <c r="B121" s="16" t="inlineStr">
        <is>
          <t>LITTELFUSE INC</t>
        </is>
      </c>
      <c r="C121" s="17" t="n">
        <v>2</v>
      </c>
      <c r="D121" s="17" t="inlineStr">
        <is>
          <t>FY2024</t>
        </is>
      </c>
      <c r="E121" s="18" t="n">
        <v>2322000000</v>
      </c>
      <c r="F121" s="18" t="n">
        <v>198000000</v>
      </c>
      <c r="G121" s="18" t="n">
        <v>155000000</v>
      </c>
      <c r="H121" s="19">
        <f>IF(OR(E121="",F121=""),"",F121/E121)</f>
        <v/>
      </c>
      <c r="I121" s="19">
        <f>IF(OR(E121="",G121=""),"",G121/E121)</f>
        <v/>
      </c>
      <c r="J121" s="19">
        <f>IF(OR(H121="",I121=""),"",H121+I121)</f>
        <v/>
      </c>
      <c r="K121" s="20" t="inlineStr">
        <is>
          <t>Tesla</t>
        </is>
      </c>
      <c r="L121" s="20" t="inlineStr">
        <is>
          <t>Automotive fuses, circuit protection, EV contactors, sensors</t>
        </is>
      </c>
      <c r="M121" s="17" t="inlineStr">
        <is>
          <t>FY2024</t>
        </is>
      </c>
      <c r="N121" s="20" t="inlineStr">
        <is>
          <t>Littelfuse 2024 10-K</t>
        </is>
      </c>
    </row>
    <row r="122">
      <c r="A122" s="9" t="n">
        <v>530633841</v>
      </c>
      <c r="B122" s="10" t="inlineStr">
        <is>
          <t>GUANGDONG HONGTU TECHNOLOGY HOLDING</t>
        </is>
      </c>
      <c r="C122" s="11" t="n">
        <v>2</v>
      </c>
      <c r="D122" s="11" t="inlineStr">
        <is>
          <t>Q2 2025</t>
        </is>
      </c>
      <c r="E122" s="12" t="n">
        <v>2171421916</v>
      </c>
      <c r="F122" s="12" t="n">
        <v>881170</v>
      </c>
      <c r="G122" s="12" t="n">
        <v>77277073</v>
      </c>
      <c r="H122" s="13">
        <f>IF(OR(E122="",F122=""),"",F122/E122)</f>
        <v/>
      </c>
      <c r="I122" s="13">
        <f>IF(OR(E122="",G122=""),"",G122/E122)</f>
        <v/>
      </c>
      <c r="J122" s="13">
        <f>IF(OR(H122="",I122=""),"",H122+I122)</f>
        <v/>
      </c>
      <c r="K122" s="14" t="inlineStr">
        <is>
          <t>Tesla</t>
        </is>
      </c>
      <c r="L122" s="14" t="inlineStr">
        <is>
          <t>Aluminum die castings, EV structural parts, battery enclosures</t>
        </is>
      </c>
      <c r="M122" s="11" t="inlineStr">
        <is>
          <t>Q2 2025</t>
        </is>
      </c>
      <c r="N122" s="14" t="inlineStr">
        <is>
          <t>Yahoo Finance (002101.SZ)</t>
        </is>
      </c>
    </row>
    <row r="123">
      <c r="A123" s="15" t="n">
        <v>483367074</v>
      </c>
      <c r="B123" s="16" t="inlineStr">
        <is>
          <t>SFS GROUP AG</t>
        </is>
      </c>
      <c r="C123" s="17" t="n">
        <v>2</v>
      </c>
      <c r="D123" s="17" t="inlineStr">
        <is>
          <t>FY2024</t>
        </is>
      </c>
      <c r="E123" s="18" t="n">
        <v>2140000000</v>
      </c>
      <c r="F123" s="18" t="n">
        <v>120000000</v>
      </c>
      <c r="G123" s="18" t="n">
        <v>260000000</v>
      </c>
      <c r="H123" s="19">
        <f>IF(OR(E123="",F123=""),"",F123/E123)</f>
        <v/>
      </c>
      <c r="I123" s="19">
        <f>IF(OR(E123="",G123=""),"",G123/E123)</f>
        <v/>
      </c>
      <c r="J123" s="19">
        <f>IF(OR(H123="",I123=""),"",H123+I123)</f>
        <v/>
      </c>
      <c r="K123" s="20" t="inlineStr">
        <is>
          <t>Volkswagen</t>
        </is>
      </c>
      <c r="L123" s="20" t="inlineStr">
        <is>
          <t>Precision metal fasteners, engineered components for automotive</t>
        </is>
      </c>
      <c r="M123" s="17" t="inlineStr">
        <is>
          <t>FY2024</t>
        </is>
      </c>
      <c r="N123" s="20" t="inlineStr">
        <is>
          <t>SFS Group 2024 Annual Report (CHF ~1.9B)</t>
        </is>
      </c>
    </row>
    <row r="124">
      <c r="A124" s="9" t="n">
        <v>690601307</v>
      </c>
      <c r="B124" s="10" t="inlineStr">
        <is>
          <t>NIFCO INC</t>
        </is>
      </c>
      <c r="C124" s="11" t="n">
        <v>2</v>
      </c>
      <c r="D124" s="11" t="inlineStr">
        <is>
          <t>FY Mar2025</t>
        </is>
      </c>
      <c r="E124" s="12" t="n">
        <v>2140000000</v>
      </c>
      <c r="F124" s="12" t="n">
        <v>115000000</v>
      </c>
      <c r="G124" s="12" t="n">
        <v>210000000</v>
      </c>
      <c r="H124" s="13">
        <f>IF(OR(E124="",F124=""),"",F124/E124)</f>
        <v/>
      </c>
      <c r="I124" s="13">
        <f>IF(OR(E124="",G124=""),"",G124/E124)</f>
        <v/>
      </c>
      <c r="J124" s="13">
        <f>IF(OR(H124="",I124=""),"",H124+I124)</f>
        <v/>
      </c>
      <c r="K124" s="14" t="inlineStr">
        <is>
          <t>General Motors, Ford, Toyota, Stellantis, Tesla, Renault</t>
        </is>
      </c>
      <c r="L124" s="14" t="inlineStr">
        <is>
          <t>Plastic fasteners, clips, retainers, trim attachment parts</t>
        </is>
      </c>
      <c r="M124" s="11" t="inlineStr">
        <is>
          <t>FY Mar2025</t>
        </is>
      </c>
      <c r="N124" s="14" t="inlineStr">
        <is>
          <t>Nifco FY2024 Annual Report (JPY ~319B)</t>
        </is>
      </c>
    </row>
    <row r="125">
      <c r="A125" s="15" t="n">
        <v>690658596</v>
      </c>
      <c r="B125" s="16" t="inlineStr">
        <is>
          <t>MITSUBA CORP</t>
        </is>
      </c>
      <c r="C125" s="17" t="n">
        <v>2</v>
      </c>
      <c r="D125" s="17" t="inlineStr">
        <is>
          <t>FY Mar2025</t>
        </is>
      </c>
      <c r="E125" s="18" t="n">
        <v>2060000000</v>
      </c>
      <c r="F125" s="18" t="n">
        <v>90000000</v>
      </c>
      <c r="G125" s="18" t="n">
        <v>68000000</v>
      </c>
      <c r="H125" s="19">
        <f>IF(OR(E125="",F125=""),"",F125/E125)</f>
        <v/>
      </c>
      <c r="I125" s="19">
        <f>IF(OR(E125="",G125=""),"",G125/E125)</f>
        <v/>
      </c>
      <c r="J125" s="19">
        <f>IF(OR(H125="",I125=""),"",H125+I125)</f>
        <v/>
      </c>
      <c r="K125" s="20" t="inlineStr">
        <is>
          <t>Honda, Nissan, Volkswagen, BMW</t>
        </is>
      </c>
      <c r="L125" s="20" t="inlineStr">
        <is>
          <t>Starter motors, wiper systems, blower motors, door actuators</t>
        </is>
      </c>
      <c r="M125" s="17" t="inlineStr">
        <is>
          <t>FY Mar2025</t>
        </is>
      </c>
      <c r="N125" s="20" t="inlineStr">
        <is>
          <t>Mitsuba FY2024 Annual Report (JPY ~307B)</t>
        </is>
      </c>
    </row>
    <row r="126">
      <c r="A126" s="9" t="n">
        <v>544792021</v>
      </c>
      <c r="B126" s="10" t="inlineStr">
        <is>
          <t>SHANGHAI BAOLONG AUTOMOTIVE CORP</t>
        </is>
      </c>
      <c r="C126" s="11" t="n">
        <v>2</v>
      </c>
      <c r="D126" s="11" t="inlineStr">
        <is>
          <t>Q2 2025</t>
        </is>
      </c>
      <c r="E126" s="12" t="n">
        <v>2044793138</v>
      </c>
      <c r="F126" s="12" t="n">
        <v>-57318825</v>
      </c>
      <c r="G126" s="12" t="n">
        <v>98274012</v>
      </c>
      <c r="H126" s="13">
        <f>IF(OR(E126="",F126=""),"",F126/E126)</f>
        <v/>
      </c>
      <c r="I126" s="13">
        <f>IF(OR(E126="",G126=""),"",G126/E126)</f>
        <v/>
      </c>
      <c r="J126" s="13">
        <f>IF(OR(H126="",I126=""),"",H126+I126)</f>
        <v/>
      </c>
      <c r="K126" s="14" t="inlineStr">
        <is>
          <t>General Motors, Ford, Chrysler, Volkswagen, Mercedes</t>
        </is>
      </c>
      <c r="L126" s="14" t="inlineStr">
        <is>
          <t>TPMS sensors, valves, inflators, EV thermal expansion valves</t>
        </is>
      </c>
      <c r="M126" s="11" t="inlineStr">
        <is>
          <t>Q2 2025</t>
        </is>
      </c>
      <c r="N126" s="14" t="inlineStr">
        <is>
          <t>Yahoo Finance (603197.SS)</t>
        </is>
      </c>
    </row>
    <row r="127">
      <c r="A127" s="15" t="n">
        <v>690538723</v>
      </c>
      <c r="B127" s="16" t="inlineStr">
        <is>
          <t>TOKAI RIKA CO LTD</t>
        </is>
      </c>
      <c r="C127" s="17" t="n">
        <v>2</v>
      </c>
      <c r="D127" s="17" t="inlineStr">
        <is>
          <t>FY Mar2025</t>
        </is>
      </c>
      <c r="E127" s="18" t="n">
        <v>1980000000</v>
      </c>
      <c r="F127" s="18" t="n">
        <v>95000000</v>
      </c>
      <c r="G127" s="18" t="n">
        <v>120000000</v>
      </c>
      <c r="H127" s="19">
        <f>IF(OR(E127="",F127=""),"",F127/E127)</f>
        <v/>
      </c>
      <c r="I127" s="19">
        <f>IF(OR(E127="",G127=""),"",G127/E127)</f>
        <v/>
      </c>
      <c r="J127" s="19">
        <f>IF(OR(H127="",I127=""),"",H127+I127)</f>
        <v/>
      </c>
      <c r="K127" s="20" t="inlineStr">
        <is>
          <t>Toyota, Suzuki, Nissan, General Motors, Ford, Subaru</t>
        </is>
      </c>
      <c r="L127" s="20" t="inlineStr">
        <is>
          <t>Steering switches, turn signal levers, shift lock, ignition switches</t>
        </is>
      </c>
      <c r="M127" s="17" t="inlineStr">
        <is>
          <t>FY Mar2025</t>
        </is>
      </c>
      <c r="N127" s="20" t="inlineStr">
        <is>
          <t>Tokai Rika FY2024 Annual Report (JPY ~296B)</t>
        </is>
      </c>
    </row>
    <row r="128">
      <c r="A128" s="9" t="n">
        <v>690554894</v>
      </c>
      <c r="B128" s="10" t="inlineStr">
        <is>
          <t>EXEDY CORPORATION</t>
        </is>
      </c>
      <c r="C128" s="11" t="n">
        <v>2</v>
      </c>
      <c r="D128" s="11" t="inlineStr">
        <is>
          <t>FY Mar2025</t>
        </is>
      </c>
      <c r="E128" s="12" t="n">
        <v>1876000000</v>
      </c>
      <c r="F128" s="12" t="n"/>
      <c r="G128" s="12" t="n">
        <v>134000000</v>
      </c>
      <c r="H128" s="13">
        <f>IF(OR(E128="",F128=""),"",F128/E128)</f>
        <v/>
      </c>
      <c r="I128" s="13">
        <f>IF(OR(E128="",G128=""),"",G128/E128)</f>
        <v/>
      </c>
      <c r="J128" s="13">
        <f>IF(OR(H128="",I128=""),"",H128+I128)</f>
        <v/>
      </c>
      <c r="K128" s="14" t="inlineStr">
        <is>
          <t>Toyota, Honda, Nissan, Subaru</t>
        </is>
      </c>
      <c r="L128" s="14" t="inlineStr">
        <is>
          <t>Clutch covers, clutch discs, torque converters, flywheels</t>
        </is>
      </c>
      <c r="M128" s="11" t="inlineStr">
        <is>
          <t>FY Mar2025</t>
        </is>
      </c>
      <c r="N128" s="14" t="inlineStr">
        <is>
          <t>Exedy FY2024 Annual Report</t>
        </is>
      </c>
    </row>
    <row r="129">
      <c r="A129" s="15" t="n">
        <v>690555214</v>
      </c>
      <c r="B129" s="16" t="inlineStr">
        <is>
          <t>TSUBAKIMOTO CHAIN CO</t>
        </is>
      </c>
      <c r="C129" s="17" t="n">
        <v>2</v>
      </c>
      <c r="D129" s="17" t="inlineStr">
        <is>
          <t>FY Mar2025</t>
        </is>
      </c>
      <c r="E129" s="18" t="n">
        <v>1820000000</v>
      </c>
      <c r="F129" s="18" t="n">
        <v>109000000</v>
      </c>
      <c r="G129" s="18" t="n">
        <v>136000000</v>
      </c>
      <c r="H129" s="19">
        <f>IF(OR(E129="",F129=""),"",F129/E129)</f>
        <v/>
      </c>
      <c r="I129" s="19">
        <f>IF(OR(E129="",G129=""),"",G129/E129)</f>
        <v/>
      </c>
      <c r="J129" s="19">
        <f>IF(OR(H129="",I129=""),"",H129+I129)</f>
        <v/>
      </c>
      <c r="K129" s="20" t="inlineStr">
        <is>
          <t>Toyota, Ford, General Motors, Nissan, Honda</t>
        </is>
      </c>
      <c r="L129" s="20" t="inlineStr">
        <is>
          <t>Engine timing chains, drive chains, cam phasers, automotive chain systems</t>
        </is>
      </c>
      <c r="M129" s="17" t="inlineStr">
        <is>
          <t>FY Mar2025</t>
        </is>
      </c>
      <c r="N129" s="20" t="inlineStr">
        <is>
          <t>Tsubakimoto Chain FY2024 Annual Report (JPY ~272B)</t>
        </is>
      </c>
    </row>
    <row r="130">
      <c r="A130" s="9" t="n">
        <v>690544341</v>
      </c>
      <c r="B130" s="10" t="inlineStr">
        <is>
          <t>TOPY INDUSTRIES LTD</t>
        </is>
      </c>
      <c r="C130" s="11" t="n">
        <v>2</v>
      </c>
      <c r="D130" s="11" t="inlineStr">
        <is>
          <t>FY Mar2025</t>
        </is>
      </c>
      <c r="E130" s="12" t="n">
        <v>1809000000</v>
      </c>
      <c r="F130" s="12" t="n"/>
      <c r="G130" s="12" t="n">
        <v>80000000</v>
      </c>
      <c r="H130" s="13">
        <f>IF(OR(E130="",F130=""),"",F130/E130)</f>
        <v/>
      </c>
      <c r="I130" s="13">
        <f>IF(OR(E130="",G130=""),"",G130/E130)</f>
        <v/>
      </c>
      <c r="J130" s="13">
        <f>IF(OR(H130="",I130=""),"",H130+I130)</f>
        <v/>
      </c>
      <c r="K130" s="14" t="inlineStr">
        <is>
          <t>General Motors, Toyota, Ford, Honda, Nissan, Stellantis</t>
        </is>
      </c>
      <c r="L130" s="14" t="inlineStr">
        <is>
          <t>Steel wheels, wheel rims, forged products</t>
        </is>
      </c>
      <c r="M130" s="11" t="inlineStr">
        <is>
          <t>FY Mar2025</t>
        </is>
      </c>
      <c r="N130" s="14" t="inlineStr">
        <is>
          <t>Topy Industries FY2024 Annual Report</t>
        </is>
      </c>
    </row>
    <row r="131">
      <c r="A131" s="15" t="n">
        <v>65855363</v>
      </c>
      <c r="B131" s="16" t="inlineStr">
        <is>
          <t>GENTEX CORP</t>
        </is>
      </c>
      <c r="C131" s="17" t="n">
        <v>2</v>
      </c>
      <c r="D131" s="17" t="inlineStr">
        <is>
          <t>Q3 2025</t>
        </is>
      </c>
      <c r="E131" s="18" t="n">
        <v>1771676766</v>
      </c>
      <c r="F131" s="18" t="n">
        <v>90494117</v>
      </c>
      <c r="G131" s="18" t="n">
        <v>369958486</v>
      </c>
      <c r="H131" s="19">
        <f>IF(OR(E131="",F131=""),"",F131/E131)</f>
        <v/>
      </c>
      <c r="I131" s="19">
        <f>IF(OR(E131="",G131=""),"",G131/E131)</f>
        <v/>
      </c>
      <c r="J131" s="19">
        <f>IF(OR(H131="",I131=""),"",H131+I131)</f>
        <v/>
      </c>
      <c r="K131" s="20" t="inlineStr">
        <is>
          <t>Volkswagen, Mercedes, BMW, Toyota</t>
        </is>
      </c>
      <c r="L131" s="20" t="inlineStr">
        <is>
          <t>Auto-dimming mirrors, HomeLink garage transmitter, full display mirrors</t>
        </is>
      </c>
      <c r="M131" s="17" t="inlineStr">
        <is>
          <t>Q3 2025</t>
        </is>
      </c>
      <c r="N131" s="20" t="inlineStr">
        <is>
          <t>SEC 10-Q</t>
        </is>
      </c>
    </row>
    <row r="132">
      <c r="A132" s="9" t="n">
        <v>6477301</v>
      </c>
      <c r="B132" s="10" t="inlineStr">
        <is>
          <t>DONALDSON COMPANY INC</t>
        </is>
      </c>
      <c r="C132" s="11" t="n">
        <v>2</v>
      </c>
      <c r="D132" s="11" t="inlineStr">
        <is>
          <t>Q2 2026</t>
        </is>
      </c>
      <c r="E132" s="12" t="n">
        <v>1770100000</v>
      </c>
      <c r="F132" s="12" t="n">
        <v>325300000</v>
      </c>
      <c r="G132" s="12" t="n">
        <v>256300000</v>
      </c>
      <c r="H132" s="13">
        <f>IF(OR(E132="",F132=""),"",F132/E132)</f>
        <v/>
      </c>
      <c r="I132" s="13">
        <f>IF(OR(E132="",G132=""),"",G132/E132)</f>
        <v/>
      </c>
      <c r="J132" s="13">
        <f>IF(OR(H132="",I132=""),"",H132+I132)</f>
        <v/>
      </c>
      <c r="K132" s="14" t="inlineStr">
        <is>
          <t>Ford, Volvo</t>
        </is>
      </c>
      <c r="L132" s="14" t="inlineStr">
        <is>
          <t>Engine air filtration, fuel filtration, crankcase ventilation</t>
        </is>
      </c>
      <c r="M132" s="11" t="inlineStr">
        <is>
          <t>Q2 2026</t>
        </is>
      </c>
      <c r="N132" s="14" t="inlineStr">
        <is>
          <t>SEC 10-Q</t>
        </is>
      </c>
    </row>
    <row r="133">
      <c r="A133" s="15" t="n">
        <v>690661756</v>
      </c>
      <c r="B133" s="16" t="inlineStr">
        <is>
          <t>FCC CO LTD</t>
        </is>
      </c>
      <c r="C133" s="17" t="n">
        <v>2</v>
      </c>
      <c r="D133" s="17" t="inlineStr">
        <is>
          <t>FY Mar2025</t>
        </is>
      </c>
      <c r="E133" s="18" t="n">
        <v>1742000000</v>
      </c>
      <c r="F133" s="18" t="n"/>
      <c r="G133" s="18" t="n">
        <v>147000000</v>
      </c>
      <c r="H133" s="19">
        <f>IF(OR(E133="",F133=""),"",F133/E133)</f>
        <v/>
      </c>
      <c r="I133" s="19">
        <f>IF(OR(E133="",G133=""),"",G133/E133)</f>
        <v/>
      </c>
      <c r="J133" s="19">
        <f>IF(OR(H133="",I133=""),"",H133+I133)</f>
        <v/>
      </c>
      <c r="K133" s="20" t="inlineStr">
        <is>
          <t>Honda, Toyota, Ford, General Motors</t>
        </is>
      </c>
      <c r="L133" s="20" t="inlineStr">
        <is>
          <t>Clutch systems, multi-plate clutch packs, ATM clutches</t>
        </is>
      </c>
      <c r="M133" s="17" t="inlineStr">
        <is>
          <t>FY Mar2025</t>
        </is>
      </c>
      <c r="N133" s="20" t="inlineStr">
        <is>
          <t>FCC FY2024 Annual Report (JPY ~260B)</t>
        </is>
      </c>
    </row>
    <row r="134">
      <c r="A134" s="9" t="n">
        <v>690535927</v>
      </c>
      <c r="B134" s="10" t="inlineStr">
        <is>
          <t>AKEBONO BRAKE INDUSTRY CO LTD</t>
        </is>
      </c>
      <c r="C134" s="11" t="n">
        <v>2</v>
      </c>
      <c r="D134" s="11" t="inlineStr">
        <is>
          <t>FY Mar2025</t>
        </is>
      </c>
      <c r="E134" s="12" t="n">
        <v>1675000000</v>
      </c>
      <c r="F134" s="12" t="n"/>
      <c r="G134" s="12" t="n">
        <v>54000000</v>
      </c>
      <c r="H134" s="13">
        <f>IF(OR(E134="",F134=""),"",F134/E134)</f>
        <v/>
      </c>
      <c r="I134" s="13">
        <f>IF(OR(E134="",G134=""),"",G134/E134)</f>
        <v/>
      </c>
      <c r="J134" s="13">
        <f>IF(OR(H134="",I134=""),"",H134+I134)</f>
        <v/>
      </c>
      <c r="K134" s="14" t="inlineStr">
        <is>
          <t>Toyota, Honda, Nissan, Subaru, Mazda, General Motors</t>
        </is>
      </c>
      <c r="L134" s="14" t="inlineStr">
        <is>
          <t>Disc brake pads, drum brake shoes, brake calipers, brake assemblies</t>
        </is>
      </c>
      <c r="M134" s="11" t="inlineStr">
        <is>
          <t>FY Mar2025</t>
        </is>
      </c>
      <c r="N134" s="14" t="inlineStr">
        <is>
          <t>Akebono Brake FY2024 Annual Report</t>
        </is>
      </c>
    </row>
    <row r="135">
      <c r="A135" s="15" t="n">
        <v>93715316</v>
      </c>
      <c r="B135" s="16" t="inlineStr">
        <is>
          <t>DORMAN PRODUCTS INC</t>
        </is>
      </c>
      <c r="C135" s="17" t="n">
        <v>2</v>
      </c>
      <c r="D135" s="17" t="inlineStr">
        <is>
          <t>Q3 2025</t>
        </is>
      </c>
      <c r="E135" s="18" t="n">
        <v>1475425000</v>
      </c>
      <c r="F135" s="18" t="n">
        <v>378489000</v>
      </c>
      <c r="G135" s="18" t="n">
        <v>206161000</v>
      </c>
      <c r="H135" s="19">
        <f>IF(OR(E135="",F135=""),"",F135/E135)</f>
        <v/>
      </c>
      <c r="I135" s="19">
        <f>IF(OR(E135="",G135=""),"",G135/E135)</f>
        <v/>
      </c>
      <c r="J135" s="19">
        <f>IF(OR(H135="",I135=""),"",H135+I135)</f>
        <v/>
      </c>
      <c r="K135" s="20" t="inlineStr">
        <is>
          <t>Ford, Stellantis, General Motors</t>
        </is>
      </c>
      <c r="L135" s="20" t="inlineStr">
        <is>
          <t>Aftermarket auto parts (brakes, cooling, electrical, chassis)</t>
        </is>
      </c>
      <c r="M135" s="17" t="inlineStr">
        <is>
          <t>Q3 2025</t>
        </is>
      </c>
      <c r="N135" s="20" t="inlineStr">
        <is>
          <t>SEC 10-Q</t>
        </is>
      </c>
    </row>
    <row r="136">
      <c r="A136" s="9" t="n">
        <v>79236657</v>
      </c>
      <c r="B136" s="10" t="inlineStr">
        <is>
          <t>TIMKENSTEEL CORPORATION</t>
        </is>
      </c>
      <c r="C136" s="11" t="n">
        <v>2</v>
      </c>
      <c r="D136" s="11" t="inlineStr">
        <is>
          <t>FY2024</t>
        </is>
      </c>
      <c r="E136" s="12" t="n">
        <v>1379000000</v>
      </c>
      <c r="F136" s="12" t="n">
        <v>81000000</v>
      </c>
      <c r="G136" s="12" t="n">
        <v>29000000</v>
      </c>
      <c r="H136" s="13">
        <f>IF(OR(E136="",F136=""),"",F136/E136)</f>
        <v/>
      </c>
      <c r="I136" s="13">
        <f>IF(OR(E136="",G136=""),"",G136/E136)</f>
        <v/>
      </c>
      <c r="J136" s="13">
        <f>IF(OR(H136="",I136=""),"",H136+I136)</f>
        <v/>
      </c>
      <c r="K136" s="14" t="inlineStr">
        <is>
          <t>General Motors, Ford, Stellantis</t>
        </is>
      </c>
      <c r="L136" s="14" t="inlineStr">
        <is>
          <t>Specialty steel bars, seamless steel tubes for drivetrain applications</t>
        </is>
      </c>
      <c r="M136" s="11" t="inlineStr">
        <is>
          <t>FY2024</t>
        </is>
      </c>
      <c r="N136" s="14" t="inlineStr">
        <is>
          <t>TimkenSteel 2024 10-K</t>
        </is>
      </c>
    </row>
    <row r="137">
      <c r="A137" s="15" t="n">
        <v>690539358</v>
      </c>
      <c r="B137" s="16" t="inlineStr">
        <is>
          <t>HI-LEX CORP</t>
        </is>
      </c>
      <c r="C137" s="17" t="n">
        <v>2</v>
      </c>
      <c r="D137" s="17" t="inlineStr">
        <is>
          <t>FY Mar2025</t>
        </is>
      </c>
      <c r="E137" s="18" t="n">
        <v>1320000000</v>
      </c>
      <c r="F137" s="18" t="n">
        <v>58000000</v>
      </c>
      <c r="G137" s="18" t="n">
        <v>70000000</v>
      </c>
      <c r="H137" s="19">
        <f>IF(OR(E137="",F137=""),"",F137/E137)</f>
        <v/>
      </c>
      <c r="I137" s="19">
        <f>IF(OR(E137="",G137=""),"",G137/E137)</f>
        <v/>
      </c>
      <c r="J137" s="19">
        <f>IF(OR(H137="",I137=""),"",H137+I137)</f>
        <v/>
      </c>
      <c r="K137" s="20" t="inlineStr">
        <is>
          <t>Ford, General Motors, Stellantis, Toyota, Honda, Mercedes</t>
        </is>
      </c>
      <c r="L137" s="20" t="inlineStr">
        <is>
          <t>Control cables, window regulator cables, seat cables</t>
        </is>
      </c>
      <c r="M137" s="17" t="inlineStr">
        <is>
          <t>FY Mar2025</t>
        </is>
      </c>
      <c r="N137" s="20" t="inlineStr">
        <is>
          <t>Hi-Lex FY2024 Annual Report (JPY ~197B)</t>
        </is>
      </c>
    </row>
    <row r="138">
      <c r="A138" s="9" t="n">
        <v>49746014</v>
      </c>
      <c r="B138" s="10" t="inlineStr">
        <is>
          <t>PARK-OHIO HOLDINGS CORP</t>
        </is>
      </c>
      <c r="C138" s="11" t="n">
        <v>2</v>
      </c>
      <c r="D138" s="11" t="inlineStr">
        <is>
          <t>Q3 2025</t>
        </is>
      </c>
      <c r="E138" s="12" t="n">
        <v>1267800000</v>
      </c>
      <c r="F138" s="12" t="n">
        <v>142300000</v>
      </c>
      <c r="G138" s="12" t="n">
        <v>72200000</v>
      </c>
      <c r="H138" s="13">
        <f>IF(OR(E138="",F138=""),"",F138/E138)</f>
        <v/>
      </c>
      <c r="I138" s="13">
        <f>IF(OR(E138="",G138=""),"",G138/E138)</f>
        <v/>
      </c>
      <c r="J138" s="13">
        <f>IF(OR(H138="",I138=""),"",H138+I138)</f>
        <v/>
      </c>
      <c r="K138" s="14" t="inlineStr">
        <is>
          <t>General Motors, Ford, Stellantis</t>
        </is>
      </c>
      <c r="L138" s="14" t="inlineStr">
        <is>
          <t>Engineered fasteners, assembly components, supply chain management</t>
        </is>
      </c>
      <c r="M138" s="11" t="inlineStr">
        <is>
          <t>Q3 2025</t>
        </is>
      </c>
      <c r="N138" s="14" t="inlineStr">
        <is>
          <t>SEC 10-Q</t>
        </is>
      </c>
    </row>
    <row r="139">
      <c r="A139" s="15" t="n">
        <v>690578364</v>
      </c>
      <c r="B139" s="16" t="inlineStr">
        <is>
          <t>AISAN INDUSTRY CO LTD</t>
        </is>
      </c>
      <c r="C139" s="17" t="n">
        <v>2</v>
      </c>
      <c r="D139" s="17" t="inlineStr">
        <is>
          <t>FY Mar2025</t>
        </is>
      </c>
      <c r="E139" s="18" t="n">
        <v>1210000000</v>
      </c>
      <c r="F139" s="18" t="n">
        <v>62000000</v>
      </c>
      <c r="G139" s="18" t="n">
        <v>72000000</v>
      </c>
      <c r="H139" s="19">
        <f>IF(OR(E139="",F139=""),"",F139/E139)</f>
        <v/>
      </c>
      <c r="I139" s="19">
        <f>IF(OR(E139="",G139=""),"",G139/E139)</f>
        <v/>
      </c>
      <c r="J139" s="19">
        <f>IF(OR(H139="",I139=""),"",H139+I139)</f>
        <v/>
      </c>
      <c r="K139" s="20" t="inlineStr">
        <is>
          <t>Toyota, Renault, Nissan, Volvo, Suzuki</t>
        </is>
      </c>
      <c r="L139" s="20" t="inlineStr">
        <is>
          <t>Throttle bodies, fuel injection components, EGR systems</t>
        </is>
      </c>
      <c r="M139" s="17" t="inlineStr">
        <is>
          <t>FY Mar2025</t>
        </is>
      </c>
      <c r="N139" s="20" t="inlineStr">
        <is>
          <t>Aisan Industry FY2024 Annual Report (JPY ~181B)</t>
        </is>
      </c>
    </row>
    <row r="140">
      <c r="A140" s="9" t="n">
        <v>5092135</v>
      </c>
      <c r="B140" s="10" t="inlineStr">
        <is>
          <t>METHODE ELECTRONICS INC</t>
        </is>
      </c>
      <c r="C140" s="11" t="n">
        <v>2</v>
      </c>
      <c r="D140" s="11" t="inlineStr">
        <is>
          <t>FY May2024</t>
        </is>
      </c>
      <c r="E140" s="12" t="n">
        <v>1189600000</v>
      </c>
      <c r="F140" s="12" t="n">
        <v>109400000</v>
      </c>
      <c r="G140" s="12" t="n">
        <v>-147200000</v>
      </c>
      <c r="H140" s="13">
        <f>IF(OR(E140="",F140=""),"",F140/E140)</f>
        <v/>
      </c>
      <c r="I140" s="13">
        <f>IF(OR(E140="",G140=""),"",G140/E140)</f>
        <v/>
      </c>
      <c r="J140" s="13">
        <f>IF(OR(H140="",I140=""),"",H140+I140)</f>
        <v/>
      </c>
      <c r="K140" s="14" t="inlineStr">
        <is>
          <t>General Motors</t>
        </is>
      </c>
      <c r="L140" s="14" t="inlineStr">
        <is>
          <t>EV bus bars, LED lighting solutions, user interface controls, cable assemblies</t>
        </is>
      </c>
      <c r="M140" s="11" t="inlineStr">
        <is>
          <t>FY May2024</t>
        </is>
      </c>
      <c r="N140" s="14" t="inlineStr">
        <is>
          <t>Methode Electronics FY2024 10-K</t>
        </is>
      </c>
    </row>
    <row r="141">
      <c r="A141" s="15" t="n">
        <v>690845367</v>
      </c>
      <c r="B141" s="16" t="inlineStr">
        <is>
          <t>YOROZU CORP</t>
        </is>
      </c>
      <c r="C141" s="17" t="n">
        <v>2</v>
      </c>
      <c r="D141" s="17" t="inlineStr">
        <is>
          <t>FY Mar2025</t>
        </is>
      </c>
      <c r="E141" s="18" t="n">
        <v>1150000000</v>
      </c>
      <c r="F141" s="18" t="n">
        <v>52000000</v>
      </c>
      <c r="G141" s="18" t="n">
        <v>48000000</v>
      </c>
      <c r="H141" s="19">
        <f>IF(OR(E141="",F141=""),"",F141/E141)</f>
        <v/>
      </c>
      <c r="I141" s="19">
        <f>IF(OR(E141="",G141=""),"",G141/E141)</f>
        <v/>
      </c>
      <c r="J141" s="19">
        <f>IF(OR(H141="",I141=""),"",H141+I141)</f>
        <v/>
      </c>
      <c r="K141" s="20" t="inlineStr">
        <is>
          <t>General Motors, Toyota, Honda, Volkswagen, Nissan</t>
        </is>
      </c>
      <c r="L141" s="20" t="inlineStr">
        <is>
          <t>Suspension parts, cross members, front sub-frames</t>
        </is>
      </c>
      <c r="M141" s="17" t="inlineStr">
        <is>
          <t>FY Mar2025</t>
        </is>
      </c>
      <c r="N141" s="20" t="inlineStr">
        <is>
          <t>Yorozu FY2024 Annual Report (JPY ~171B)</t>
        </is>
      </c>
    </row>
    <row r="142">
      <c r="A142" s="9" t="n">
        <v>811393222</v>
      </c>
      <c r="B142" s="10" t="inlineStr">
        <is>
          <t>RASSINI SAB DE CV</t>
        </is>
      </c>
      <c r="C142" s="11" t="n">
        <v>2</v>
      </c>
      <c r="D142" s="11" t="inlineStr">
        <is>
          <t>FY2024</t>
        </is>
      </c>
      <c r="E142" s="12" t="n">
        <v>1060000000</v>
      </c>
      <c r="F142" s="12" t="n">
        <v>48000000</v>
      </c>
      <c r="G142" s="12" t="n">
        <v>120000000</v>
      </c>
      <c r="H142" s="13">
        <f>IF(OR(E142="",F142=""),"",F142/E142)</f>
        <v/>
      </c>
      <c r="I142" s="13">
        <f>IF(OR(E142="",G142=""),"",G142/E142)</f>
        <v/>
      </c>
      <c r="J142" s="13">
        <f>IF(OR(H142="",I142=""),"",H142+I142)</f>
        <v/>
      </c>
      <c r="K142" s="14" t="inlineStr">
        <is>
          <t>General Motors, Ford, Stellantis, Volkswagen, Toyota</t>
        </is>
      </c>
      <c r="L142" s="14" t="inlineStr">
        <is>
          <t>Leaf springs, coil springs, brake discs, front suspension systems</t>
        </is>
      </c>
      <c r="M142" s="11" t="inlineStr">
        <is>
          <t>FY2024</t>
        </is>
      </c>
      <c r="N142" s="14" t="inlineStr">
        <is>
          <t>Rassini 2024 Annual Report (MXN ~20B)</t>
        </is>
      </c>
    </row>
    <row r="143">
      <c r="A143" s="15" t="n">
        <v>810535872</v>
      </c>
      <c r="B143" s="16" t="inlineStr">
        <is>
          <t>GRUPO INDUSTRIAL SALTILLO SA DE CV</t>
        </is>
      </c>
      <c r="C143" s="17" t="n">
        <v>2</v>
      </c>
      <c r="D143" s="17" t="inlineStr">
        <is>
          <t>FY2024</t>
        </is>
      </c>
      <c r="E143" s="18" t="n">
        <v>980000000</v>
      </c>
      <c r="F143" s="18" t="n">
        <v>55000000</v>
      </c>
      <c r="G143" s="18" t="n">
        <v>90000000</v>
      </c>
      <c r="H143" s="19">
        <f>IF(OR(E143="",F143=""),"",F143/E143)</f>
        <v/>
      </c>
      <c r="I143" s="19">
        <f>IF(OR(E143="",G143=""),"",G143/E143)</f>
        <v/>
      </c>
      <c r="J143" s="19">
        <f>IF(OR(H143="",I143=""),"",H143+I143)</f>
        <v/>
      </c>
      <c r="K143" s="20" t="inlineStr">
        <is>
          <t>General Motors, Ford, Stellantis, Volkswagen, Nissan</t>
        </is>
      </c>
      <c r="L143" s="20" t="inlineStr">
        <is>
          <t>Aluminum engine blocks, cylinder heads, EV battery housings</t>
        </is>
      </c>
      <c r="M143" s="17" t="inlineStr">
        <is>
          <t>FY2024</t>
        </is>
      </c>
      <c r="N143" s="20" t="inlineStr">
        <is>
          <t>GIS 2024 Annual Report (MXN ~18.5B)</t>
        </is>
      </c>
    </row>
    <row r="144">
      <c r="A144" s="9" t="n">
        <v>690569579</v>
      </c>
      <c r="B144" s="10" t="inlineStr">
        <is>
          <t>AHRESTY CORP</t>
        </is>
      </c>
      <c r="C144" s="11" t="n">
        <v>2</v>
      </c>
      <c r="D144" s="11" t="inlineStr">
        <is>
          <t>FY Mar2025</t>
        </is>
      </c>
      <c r="E144" s="12" t="n">
        <v>960000000</v>
      </c>
      <c r="F144" s="12" t="n">
        <v>42000000</v>
      </c>
      <c r="G144" s="12" t="n">
        <v>38000000</v>
      </c>
      <c r="H144" s="13">
        <f>IF(OR(E144="",F144=""),"",F144/E144)</f>
        <v/>
      </c>
      <c r="I144" s="13">
        <f>IF(OR(E144="",G144=""),"",G144/E144)</f>
        <v/>
      </c>
      <c r="J144" s="13">
        <f>IF(OR(H144="",I144=""),"",H144+I144)</f>
        <v/>
      </c>
      <c r="K144" s="14" t="inlineStr">
        <is>
          <t>General Motors, Toyota, Honda, Nissan, Suzuki, Mazda</t>
        </is>
      </c>
      <c r="L144" s="14" t="inlineStr">
        <is>
          <t>Aluminum die castings, transmission cases, engine parts</t>
        </is>
      </c>
      <c r="M144" s="11" t="inlineStr">
        <is>
          <t>FY Mar2025</t>
        </is>
      </c>
      <c r="N144" s="14" t="inlineStr">
        <is>
          <t>Ahresty FY2024 Annual Report (JPY ~143B)</t>
        </is>
      </c>
    </row>
    <row r="145">
      <c r="A145" s="15" t="n">
        <v>210514501</v>
      </c>
      <c r="B145" s="16" t="inlineStr">
        <is>
          <t>SENIOR PLC</t>
        </is>
      </c>
      <c r="C145" s="17" t="n">
        <v>2</v>
      </c>
      <c r="D145" s="17" t="inlineStr">
        <is>
          <t>FY2024</t>
        </is>
      </c>
      <c r="E145" s="18" t="n">
        <v>960000000</v>
      </c>
      <c r="F145" s="18" t="n">
        <v>62000000</v>
      </c>
      <c r="G145" s="18" t="n">
        <v>62000000</v>
      </c>
      <c r="H145" s="19">
        <f>IF(OR(E145="",F145=""),"",F145/E145)</f>
        <v/>
      </c>
      <c r="I145" s="19">
        <f>IF(OR(E145="",G145=""),"",G145/E145)</f>
        <v/>
      </c>
      <c r="J145" s="19">
        <f>IF(OR(H145="",I145=""),"",H145+I145)</f>
        <v/>
      </c>
      <c r="K145" s="20" t="inlineStr">
        <is>
          <t>Volkswagen, BMW</t>
        </is>
      </c>
      <c r="L145" s="20" t="inlineStr">
        <is>
          <t>Flexible fluid conveyance, heat exchanger tubes, automotive fluid systems</t>
        </is>
      </c>
      <c r="M145" s="17" t="inlineStr">
        <is>
          <t>FY2024</t>
        </is>
      </c>
      <c r="N145" s="20" t="inlineStr">
        <is>
          <t>Senior plc 2024 Annual Report (GBP ~£756M)</t>
        </is>
      </c>
    </row>
    <row r="146">
      <c r="A146" s="9" t="n">
        <v>690569751</v>
      </c>
      <c r="B146" s="10" t="inlineStr">
        <is>
          <t>T RAD CO LTD</t>
        </is>
      </c>
      <c r="C146" s="11" t="n">
        <v>2</v>
      </c>
      <c r="D146" s="11" t="inlineStr">
        <is>
          <t>FY Mar2025</t>
        </is>
      </c>
      <c r="E146" s="12" t="n">
        <v>940000000</v>
      </c>
      <c r="F146" s="12" t="n">
        <v>42000000</v>
      </c>
      <c r="G146" s="12" t="n">
        <v>55000000</v>
      </c>
      <c r="H146" s="13">
        <f>IF(OR(E146="",F146=""),"",F146/E146)</f>
        <v/>
      </c>
      <c r="I146" s="13">
        <f>IF(OR(E146="",G146=""),"",G146/E146)</f>
        <v/>
      </c>
      <c r="J146" s="13">
        <f>IF(OR(H146="",I146=""),"",H146+I146)</f>
        <v/>
      </c>
      <c r="K146" s="14" t="inlineStr">
        <is>
          <t>Toyota, Honda, General Motors</t>
        </is>
      </c>
      <c r="L146" s="14" t="inlineStr">
        <is>
          <t>Radiators, oil coolers, heat exchangers, EV thermal management modules</t>
        </is>
      </c>
      <c r="M146" s="11" t="inlineStr">
        <is>
          <t>FY Mar2025</t>
        </is>
      </c>
      <c r="N146" s="14" t="inlineStr">
        <is>
          <t>T.RAD FY2024 Annual Report (JPY ~140B)</t>
        </is>
      </c>
    </row>
    <row r="147">
      <c r="A147" s="15" t="n">
        <v>300243545</v>
      </c>
      <c r="B147" s="16" t="inlineStr">
        <is>
          <t>POLYTEC HOLDINGS AG</t>
        </is>
      </c>
      <c r="C147" s="17" t="n">
        <v>2</v>
      </c>
      <c r="D147" s="17" t="inlineStr">
        <is>
          <t>FY2024</t>
        </is>
      </c>
      <c r="E147" s="18" t="n">
        <v>930000000</v>
      </c>
      <c r="F147" s="18" t="n">
        <v>45000000</v>
      </c>
      <c r="G147" s="18" t="n">
        <v>48000000</v>
      </c>
      <c r="H147" s="19">
        <f>IF(OR(E147="",F147=""),"",F147/E147)</f>
        <v/>
      </c>
      <c r="I147" s="19">
        <f>IF(OR(E147="",G147=""),"",G147/E147)</f>
        <v/>
      </c>
      <c r="J147" s="19">
        <f>IF(OR(H147="",I147=""),"",H147+I147)</f>
        <v/>
      </c>
      <c r="K147" s="20" t="inlineStr">
        <is>
          <t>BMW, Volkswagen, Mercedes, Stellantis</t>
        </is>
      </c>
      <c r="L147" s="20" t="inlineStr">
        <is>
          <t>Thermoplastic exterior parts, door panels, wheel arch liners, engine covers</t>
        </is>
      </c>
      <c r="M147" s="17" t="inlineStr">
        <is>
          <t>FY2024</t>
        </is>
      </c>
      <c r="N147" s="20" t="inlineStr">
        <is>
          <t>Polytec 2024 Annual Report (EUR ~€860M)</t>
        </is>
      </c>
    </row>
    <row r="148">
      <c r="A148" s="9" t="n">
        <v>353944689</v>
      </c>
      <c r="B148" s="10" t="inlineStr">
        <is>
          <t>TRELLEBORG AB</t>
        </is>
      </c>
      <c r="C148" s="11" t="n">
        <v>2</v>
      </c>
      <c r="D148" s="11" t="inlineStr">
        <is>
          <t>Q4 2025</t>
        </is>
      </c>
      <c r="E148" s="12" t="n">
        <v>891299700</v>
      </c>
      <c r="F148" s="12" t="n">
        <v>162944050</v>
      </c>
      <c r="G148" s="12" t="n">
        <v>148691764</v>
      </c>
      <c r="H148" s="13">
        <f>IF(OR(E148="",F148=""),"",F148/E148)</f>
        <v/>
      </c>
      <c r="I148" s="13">
        <f>IF(OR(E148="",G148=""),"",G148/E148)</f>
        <v/>
      </c>
      <c r="J148" s="13">
        <f>IF(OR(H148="",I148=""),"",H148+I148)</f>
        <v/>
      </c>
      <c r="K148" s="14" t="inlineStr">
        <is>
          <t>Stellantis, Volvo, Volkswagen</t>
        </is>
      </c>
      <c r="L148" s="14" t="inlineStr">
        <is>
          <t>Sealing systems, anti-vibration products, engineered coated fabrics</t>
        </is>
      </c>
      <c r="M148" s="11" t="inlineStr">
        <is>
          <t>Q4 2025</t>
        </is>
      </c>
      <c r="N148" s="14" t="inlineStr">
        <is>
          <t>Yahoo Finance (TREL-B.ST)</t>
        </is>
      </c>
    </row>
    <row r="149">
      <c r="A149" s="15" t="n">
        <v>690809090</v>
      </c>
      <c r="B149" s="16" t="inlineStr">
        <is>
          <t>F-TECH INC</t>
        </is>
      </c>
      <c r="C149" s="17" t="n">
        <v>2</v>
      </c>
      <c r="D149" s="17" t="inlineStr">
        <is>
          <t>FY Mar2025</t>
        </is>
      </c>
      <c r="E149" s="18" t="n">
        <v>890000000</v>
      </c>
      <c r="F149" s="18" t="n">
        <v>42000000</v>
      </c>
      <c r="G149" s="18" t="n">
        <v>38000000</v>
      </c>
      <c r="H149" s="19">
        <f>IF(OR(E149="",F149=""),"",F149/E149)</f>
        <v/>
      </c>
      <c r="I149" s="19">
        <f>IF(OR(E149="",G149=""),"",G149/E149)</f>
        <v/>
      </c>
      <c r="J149" s="19">
        <f>IF(OR(H149="",I149=""),"",H149+I149)</f>
        <v/>
      </c>
      <c r="K149" s="20" t="inlineStr">
        <is>
          <t>Honda, Nissan, General Motors</t>
        </is>
      </c>
      <c r="L149" s="20" t="inlineStr">
        <is>
          <t>Pedal assemblies, structural frames, suspension components</t>
        </is>
      </c>
      <c r="M149" s="17" t="inlineStr">
        <is>
          <t>FY Mar2025</t>
        </is>
      </c>
      <c r="N149" s="20" t="inlineStr">
        <is>
          <t>F-Tech FY2024 Annual Report (JPY ~133B)</t>
        </is>
      </c>
    </row>
    <row r="150">
      <c r="A150" s="9" t="n">
        <v>150146855</v>
      </c>
      <c r="B150" s="10" t="inlineStr">
        <is>
          <t>COMMERCIAL VEHICLE GROUP INC</t>
        </is>
      </c>
      <c r="C150" s="11" t="n">
        <v>2</v>
      </c>
      <c r="D150" s="11" t="inlineStr">
        <is>
          <t>FY2024</t>
        </is>
      </c>
      <c r="E150" s="12" t="n">
        <v>887000000</v>
      </c>
      <c r="F150" s="12" t="n">
        <v>72000000</v>
      </c>
      <c r="G150" s="12" t="n">
        <v>8000000</v>
      </c>
      <c r="H150" s="13">
        <f>IF(OR(E150="",F150=""),"",F150/E150)</f>
        <v/>
      </c>
      <c r="I150" s="13">
        <f>IF(OR(E150="",G150=""),"",G150/E150)</f>
        <v/>
      </c>
      <c r="J150" s="13">
        <f>IF(OR(H150="",I150=""),"",H150+I150)</f>
        <v/>
      </c>
      <c r="K150" s="14" t="inlineStr">
        <is>
          <t>Volvo, Daimler Trucks, Peterbilt</t>
        </is>
      </c>
      <c r="L150" s="14" t="inlineStr">
        <is>
          <t>Seats, cab-related products, wiper systems, trim for trucks/buses</t>
        </is>
      </c>
      <c r="M150" s="11" t="inlineStr">
        <is>
          <t>FY2024</t>
        </is>
      </c>
      <c r="N150" s="14" t="inlineStr">
        <is>
          <t>Commercial Vehicle Group 2024 10-K</t>
        </is>
      </c>
    </row>
    <row r="151">
      <c r="A151" s="15" t="n">
        <v>690552633</v>
      </c>
      <c r="B151" s="16" t="inlineStr">
        <is>
          <t>MITSUBISHI STEEL MFG CO LTD</t>
        </is>
      </c>
      <c r="C151" s="17" t="n">
        <v>2</v>
      </c>
      <c r="D151" s="17" t="inlineStr">
        <is>
          <t>FY Mar2025</t>
        </is>
      </c>
      <c r="E151" s="18" t="n">
        <v>870000000</v>
      </c>
      <c r="F151" s="18" t="n">
        <v>38000000</v>
      </c>
      <c r="G151" s="18" t="n">
        <v>42000000</v>
      </c>
      <c r="H151" s="19">
        <f>IF(OR(E151="",F151=""),"",F151/E151)</f>
        <v/>
      </c>
      <c r="I151" s="19">
        <f>IF(OR(E151="",G151=""),"",G151/E151)</f>
        <v/>
      </c>
      <c r="J151" s="19">
        <f>IF(OR(H151="",I151=""),"",H151+I151)</f>
        <v/>
      </c>
      <c r="K151" s="20" t="inlineStr">
        <is>
          <t>Ford, Stellantis, Volkswagen, BMW, General Motors</t>
        </is>
      </c>
      <c r="L151" s="20" t="inlineStr">
        <is>
          <t>Suspension springs, stabilizer bars, high-strength springs</t>
        </is>
      </c>
      <c r="M151" s="17" t="inlineStr">
        <is>
          <t>FY Mar2025</t>
        </is>
      </c>
      <c r="N151" s="20" t="inlineStr">
        <is>
          <t>Mitsubishi Steel FY2024 Annual Report (JPY ~130B)</t>
        </is>
      </c>
    </row>
    <row r="152">
      <c r="A152" s="9" t="n">
        <v>690579495</v>
      </c>
      <c r="B152" s="10" t="inlineStr">
        <is>
          <t>BANDO CHEMICAL INDUSTRIES LTD</t>
        </is>
      </c>
      <c r="C152" s="11" t="n">
        <v>2</v>
      </c>
      <c r="D152" s="11" t="inlineStr">
        <is>
          <t>FY Mar2025</t>
        </is>
      </c>
      <c r="E152" s="12" t="n">
        <v>870000000</v>
      </c>
      <c r="F152" s="12" t="n">
        <v>48000000</v>
      </c>
      <c r="G152" s="12" t="n">
        <v>55000000</v>
      </c>
      <c r="H152" s="13">
        <f>IF(OR(E152="",F152=""),"",F152/E152)</f>
        <v/>
      </c>
      <c r="I152" s="13">
        <f>IF(OR(E152="",G152=""),"",G152/E152)</f>
        <v/>
      </c>
      <c r="J152" s="13">
        <f>IF(OR(H152="",I152=""),"",H152+I152)</f>
        <v/>
      </c>
      <c r="K152" s="14" t="inlineStr">
        <is>
          <t>General Motors</t>
        </is>
      </c>
      <c r="L152" s="14" t="inlineStr">
        <is>
          <t>Drive belts, timing belts, ribbed belts</t>
        </is>
      </c>
      <c r="M152" s="11" t="inlineStr">
        <is>
          <t>FY Mar2025</t>
        </is>
      </c>
      <c r="N152" s="14" t="inlineStr">
        <is>
          <t>Bando Chemical FY2024 Annual Report (JPY ~130B)</t>
        </is>
      </c>
    </row>
    <row r="153">
      <c r="A153" s="15" t="n">
        <v>687751727</v>
      </c>
      <c r="B153" s="16" t="inlineStr">
        <is>
          <t>SL CORP</t>
        </is>
      </c>
      <c r="C153" s="17" t="n">
        <v>2</v>
      </c>
      <c r="D153" s="17" t="inlineStr">
        <is>
          <t>Q3 2025</t>
        </is>
      </c>
      <c r="E153" s="18" t="n">
        <v>863403352</v>
      </c>
      <c r="F153" s="18" t="n">
        <v>24119215</v>
      </c>
      <c r="G153" s="18" t="n">
        <v>45266228</v>
      </c>
      <c r="H153" s="19">
        <f>IF(OR(E153="",F153=""),"",F153/E153)</f>
        <v/>
      </c>
      <c r="I153" s="19">
        <f>IF(OR(E153="",G153=""),"",G153/E153)</f>
        <v/>
      </c>
      <c r="J153" s="19">
        <f>IF(OR(H153="",I153=""),"",H153+I153)</f>
        <v/>
      </c>
      <c r="K153" s="20" t="inlineStr">
        <is>
          <t>Hyundai, General Motors, Kia</t>
        </is>
      </c>
      <c r="L153" s="20" t="inlineStr">
        <is>
          <t>Interior lighting modules, ambient lighting, exterior lamps</t>
        </is>
      </c>
      <c r="M153" s="17" t="inlineStr">
        <is>
          <t>Q3 2025</t>
        </is>
      </c>
      <c r="N153" s="20" t="inlineStr">
        <is>
          <t>Yahoo Finance (005850.KS)</t>
        </is>
      </c>
    </row>
    <row r="154">
      <c r="A154" s="9" t="n">
        <v>690577879</v>
      </c>
      <c r="B154" s="10" t="inlineStr">
        <is>
          <t>NICHIAS CORP</t>
        </is>
      </c>
      <c r="C154" s="11" t="n">
        <v>2</v>
      </c>
      <c r="D154" s="11" t="inlineStr">
        <is>
          <t>FY Mar2025</t>
        </is>
      </c>
      <c r="E154" s="12" t="n">
        <v>840000000</v>
      </c>
      <c r="F154" s="12" t="n">
        <v>45000000</v>
      </c>
      <c r="G154" s="12" t="n">
        <v>62000000</v>
      </c>
      <c r="H154" s="13">
        <f>IF(OR(E154="",F154=""),"",F154/E154)</f>
        <v/>
      </c>
      <c r="I154" s="13">
        <f>IF(OR(E154="",G154=""),"",G154/E154)</f>
        <v/>
      </c>
      <c r="J154" s="13">
        <f>IF(OR(H154="",I154=""),"",H154+I154)</f>
        <v/>
      </c>
      <c r="K154" s="14" t="inlineStr">
        <is>
          <t>Toyota, Honda, Nissan</t>
        </is>
      </c>
      <c r="L154" s="14" t="inlineStr">
        <is>
          <t>Gaskets, sealing sheets, thermal insulation for engines</t>
        </is>
      </c>
      <c r="M154" s="11" t="inlineStr">
        <is>
          <t>FY Mar2025</t>
        </is>
      </c>
      <c r="N154" s="14" t="inlineStr">
        <is>
          <t>Nichias FY2024 Annual Report (JPY ~125B)</t>
        </is>
      </c>
    </row>
    <row r="155">
      <c r="A155" s="15" t="n">
        <v>517808812</v>
      </c>
      <c r="B155" s="16" t="inlineStr">
        <is>
          <t>HEXAGON COMPOSITES ASA</t>
        </is>
      </c>
      <c r="C155" s="17" t="n">
        <v>2</v>
      </c>
      <c r="D155" s="17" t="inlineStr">
        <is>
          <t>Q4 2025</t>
        </is>
      </c>
      <c r="E155" s="18" t="n">
        <v>828779000</v>
      </c>
      <c r="F155" s="18" t="n"/>
      <c r="G155" s="18" t="n">
        <v>47610000</v>
      </c>
      <c r="H155" s="19">
        <f>IF(OR(E155="",F155=""),"",F155/E155)</f>
        <v/>
      </c>
      <c r="I155" s="19">
        <f>IF(OR(E155="",G155=""),"",G155/E155)</f>
        <v/>
      </c>
      <c r="J155" s="19">
        <f>IF(OR(H155="",I155=""),"",H155+I155)</f>
        <v/>
      </c>
      <c r="K155" s="20" t="inlineStr">
        <is>
          <t>Toyota</t>
        </is>
      </c>
      <c r="L155" s="20" t="inlineStr">
        <is>
          <t>Composite cylinders for CNG/hydrogen vehicles</t>
        </is>
      </c>
      <c r="M155" s="17" t="inlineStr">
        <is>
          <t>Q4 2025</t>
        </is>
      </c>
      <c r="N155" s="20" t="inlineStr">
        <is>
          <t>Yahoo Finance (HEX.OL)</t>
        </is>
      </c>
    </row>
    <row r="156">
      <c r="A156" s="9" t="n">
        <v>690559943</v>
      </c>
      <c r="B156" s="10" t="inlineStr">
        <is>
          <t>TAIHO KOGYO CO LTD</t>
        </is>
      </c>
      <c r="C156" s="11" t="n">
        <v>2</v>
      </c>
      <c r="D156" s="11" t="inlineStr">
        <is>
          <t>FY Mar2025</t>
        </is>
      </c>
      <c r="E156" s="12" t="n">
        <v>810000000</v>
      </c>
      <c r="F156" s="12" t="n">
        <v>40000000</v>
      </c>
      <c r="G156" s="12" t="n">
        <v>62000000</v>
      </c>
      <c r="H156" s="13">
        <f>IF(OR(E156="",F156=""),"",F156/E156)</f>
        <v/>
      </c>
      <c r="I156" s="13">
        <f>IF(OR(E156="",G156=""),"",G156/E156)</f>
        <v/>
      </c>
      <c r="J156" s="13">
        <f>IF(OR(H156="",I156=""),"",H156+I156)</f>
        <v/>
      </c>
      <c r="K156" s="14" t="inlineStr">
        <is>
          <t>Toyota, Honda, Nissan, Mitsubishi, General Motors</t>
        </is>
      </c>
      <c r="L156" s="14" t="inlineStr">
        <is>
          <t>Engine bearings, sliding bearings, plain bearings</t>
        </is>
      </c>
      <c r="M156" s="11" t="inlineStr">
        <is>
          <t>FY Mar2025</t>
        </is>
      </c>
      <c r="N156" s="14" t="inlineStr">
        <is>
          <t>Taiho Kogyo FY2024 Annual Report (JPY ~121B)</t>
        </is>
      </c>
    </row>
    <row r="157">
      <c r="A157" s="15" t="n">
        <v>606280873</v>
      </c>
      <c r="B157" s="16" t="inlineStr">
        <is>
          <t>STONERIDGE INC</t>
        </is>
      </c>
      <c r="C157" s="17" t="n">
        <v>2</v>
      </c>
      <c r="D157" s="17" t="inlineStr">
        <is>
          <t>FY2024</t>
        </is>
      </c>
      <c r="E157" s="18" t="n">
        <v>791800000</v>
      </c>
      <c r="F157" s="18" t="n">
        <v>95600000</v>
      </c>
      <c r="G157" s="18" t="n">
        <v>-32400000</v>
      </c>
      <c r="H157" s="19">
        <f>IF(OR(E157="",F157=""),"",F157/E157)</f>
        <v/>
      </c>
      <c r="I157" s="19">
        <f>IF(OR(E157="",G157=""),"",G157/E157)</f>
        <v/>
      </c>
      <c r="J157" s="19">
        <f>IF(OR(H157="",I157=""),"",H157+I157)</f>
        <v/>
      </c>
      <c r="K157" s="20" t="inlineStr">
        <is>
          <t>Ford, General Motors, Stellantis, Toyota</t>
        </is>
      </c>
      <c r="L157" s="20" t="inlineStr">
        <is>
          <t>Smart mirrors (MirrorEye), tachograph systems, control units</t>
        </is>
      </c>
      <c r="M157" s="17" t="inlineStr">
        <is>
          <t>FY2024</t>
        </is>
      </c>
      <c r="N157" s="20" t="inlineStr">
        <is>
          <t>Stoneridge 2024 10-K</t>
        </is>
      </c>
    </row>
    <row r="158">
      <c r="A158" s="9" t="n">
        <v>689285091</v>
      </c>
      <c r="B158" s="10" t="inlineStr">
        <is>
          <t>SUNGWOO HITECH CO LTD</t>
        </is>
      </c>
      <c r="C158" s="11" t="n">
        <v>2</v>
      </c>
      <c r="D158" s="11" t="inlineStr">
        <is>
          <t>Q3 2025</t>
        </is>
      </c>
      <c r="E158" s="12" t="n">
        <v>785520133</v>
      </c>
      <c r="F158" s="12" t="n">
        <v>22520245</v>
      </c>
      <c r="G158" s="12" t="n">
        <v>42014396</v>
      </c>
      <c r="H158" s="13">
        <f>IF(OR(E158="",F158=""),"",F158/E158)</f>
        <v/>
      </c>
      <c r="I158" s="13">
        <f>IF(OR(E158="",G158=""),"",G158/E158)</f>
        <v/>
      </c>
      <c r="J158" s="13">
        <f>IF(OR(H158="",I158=""),"",H158+I158)</f>
        <v/>
      </c>
      <c r="K158" s="14" t="inlineStr">
        <is>
          <t>Kia, Hyundai, Volkswagen, General Motors</t>
        </is>
      </c>
      <c r="L158" s="14" t="inlineStr">
        <is>
          <t>Hot-stamped metal stampings, door rings, B-pillars, floor panels</t>
        </is>
      </c>
      <c r="M158" s="11" t="inlineStr">
        <is>
          <t>Q3 2025</t>
        </is>
      </c>
      <c r="N158" s="14" t="inlineStr">
        <is>
          <t>Yahoo Finance (015750.KS)</t>
        </is>
      </c>
    </row>
    <row r="159">
      <c r="A159" s="15" t="n">
        <v>690559257</v>
      </c>
      <c r="B159" s="16" t="inlineStr">
        <is>
          <t>DAIDO METAL CO LTD</t>
        </is>
      </c>
      <c r="C159" s="17" t="n">
        <v>2</v>
      </c>
      <c r="D159" s="17" t="inlineStr">
        <is>
          <t>FY Mar2025</t>
        </is>
      </c>
      <c r="E159" s="18" t="n">
        <v>780000000</v>
      </c>
      <c r="F159" s="18" t="n">
        <v>38000000</v>
      </c>
      <c r="G159" s="18" t="n">
        <v>45000000</v>
      </c>
      <c r="H159" s="19">
        <f>IF(OR(E159="",F159=""),"",F159/E159)</f>
        <v/>
      </c>
      <c r="I159" s="19">
        <f>IF(OR(E159="",G159=""),"",G159/E159)</f>
        <v/>
      </c>
      <c r="J159" s="19">
        <f>IF(OR(H159="",I159=""),"",H159+I159)</f>
        <v/>
      </c>
      <c r="K159" s="20" t="inlineStr">
        <is>
          <t>Ford, General Motors, Toyota, Honda, Nissan</t>
        </is>
      </c>
      <c r="L159" s="20" t="inlineStr">
        <is>
          <t>Engine plain bearings, thrust washers, large-engine bearings</t>
        </is>
      </c>
      <c r="M159" s="17" t="inlineStr">
        <is>
          <t>FY Mar2025</t>
        </is>
      </c>
      <c r="N159" s="20" t="inlineStr">
        <is>
          <t>Daido Metal FY2024 Annual Report (JPY ~116B)</t>
        </is>
      </c>
    </row>
    <row r="160">
      <c r="A160" s="9" t="n">
        <v>690656772</v>
      </c>
      <c r="B160" s="10" t="inlineStr">
        <is>
          <t>PIOLAX INC</t>
        </is>
      </c>
      <c r="C160" s="11" t="n">
        <v>2</v>
      </c>
      <c r="D160" s="11" t="inlineStr">
        <is>
          <t>FY Mar2025</t>
        </is>
      </c>
      <c r="E160" s="12" t="n">
        <v>780000000</v>
      </c>
      <c r="F160" s="12" t="n">
        <v>40000000</v>
      </c>
      <c r="G160" s="12" t="n">
        <v>52000000</v>
      </c>
      <c r="H160" s="13">
        <f>IF(OR(E160="",F160=""),"",F160/E160)</f>
        <v/>
      </c>
      <c r="I160" s="13">
        <f>IF(OR(E160="",G160=""),"",G160/E160)</f>
        <v/>
      </c>
      <c r="J160" s="13">
        <f>IF(OR(H160="",I160=""),"",H160+I160)</f>
        <v/>
      </c>
      <c r="K160" s="14" t="inlineStr">
        <is>
          <t>Honda, Nissan, Subaru, Mazda, Mitsubishi, Suzuki</t>
        </is>
      </c>
      <c r="L160" s="14" t="inlineStr">
        <is>
          <t>Plastic clips, retainers, springs, interior parts</t>
        </is>
      </c>
      <c r="M160" s="11" t="inlineStr">
        <is>
          <t>FY Mar2025</t>
        </is>
      </c>
      <c r="N160" s="14" t="inlineStr">
        <is>
          <t>Piolax FY2024 Annual Report (JPY ~116B)</t>
        </is>
      </c>
    </row>
    <row r="161">
      <c r="A161" s="15" t="n">
        <v>690539184</v>
      </c>
      <c r="B161" s="16" t="inlineStr">
        <is>
          <t>HOSIDEN CORPORATION</t>
        </is>
      </c>
      <c r="C161" s="17" t="n">
        <v>2</v>
      </c>
      <c r="D161" s="17" t="inlineStr">
        <is>
          <t>FY Mar2025</t>
        </is>
      </c>
      <c r="E161" s="18" t="n">
        <v>780000000</v>
      </c>
      <c r="F161" s="18" t="n">
        <v>42000000</v>
      </c>
      <c r="G161" s="18" t="n">
        <v>28000000</v>
      </c>
      <c r="H161" s="19">
        <f>IF(OR(E161="",F161=""),"",F161/E161)</f>
        <v/>
      </c>
      <c r="I161" s="19">
        <f>IF(OR(E161="",G161=""),"",G161/E161)</f>
        <v/>
      </c>
      <c r="J161" s="19">
        <f>IF(OR(H161="",I161=""),"",H161+I161)</f>
        <v/>
      </c>
      <c r="K161" s="20" t="inlineStr">
        <is>
          <t>Toyota, Honda, Nissan</t>
        </is>
      </c>
      <c r="L161" s="20" t="inlineStr">
        <is>
          <t>Automotive connectors, touch sensors, EV charging connectors</t>
        </is>
      </c>
      <c r="M161" s="17" t="inlineStr">
        <is>
          <t>FY Mar2025</t>
        </is>
      </c>
      <c r="N161" s="20" t="inlineStr">
        <is>
          <t>Hosiden FY2024 Annual Report (JPY ~116B)</t>
        </is>
      </c>
    </row>
    <row r="162">
      <c r="A162" s="9" t="n">
        <v>690578760</v>
      </c>
      <c r="B162" s="10" t="inlineStr">
        <is>
          <t>NISHIKAWA RUBBER CO LTD</t>
        </is>
      </c>
      <c r="C162" s="11" t="n">
        <v>2</v>
      </c>
      <c r="D162" s="11" t="inlineStr">
        <is>
          <t>FY Mar2025</t>
        </is>
      </c>
      <c r="E162" s="12" t="n">
        <v>730000000</v>
      </c>
      <c r="F162" s="12" t="n">
        <v>36000000</v>
      </c>
      <c r="G162" s="12" t="n">
        <v>38000000</v>
      </c>
      <c r="H162" s="13">
        <f>IF(OR(E162="",F162=""),"",F162/E162)</f>
        <v/>
      </c>
      <c r="I162" s="13">
        <f>IF(OR(E162="",G162=""),"",G162/E162)</f>
        <v/>
      </c>
      <c r="J162" s="13">
        <f>IF(OR(H162="",I162=""),"",H162+I162)</f>
        <v/>
      </c>
      <c r="K162" s="14" t="inlineStr">
        <is>
          <t>Toyota, Honda, Nissan, Mazda</t>
        </is>
      </c>
      <c r="L162" s="14" t="inlineStr">
        <is>
          <t>Weather strips, door seals, trunk seals</t>
        </is>
      </c>
      <c r="M162" s="11" t="inlineStr">
        <is>
          <t>FY Mar2025</t>
        </is>
      </c>
      <c r="N162" s="14" t="inlineStr">
        <is>
          <t>Nishikawa Rubber FY2024 Annual Report (JPY ~109B)</t>
        </is>
      </c>
    </row>
    <row r="163">
      <c r="A163" s="15" t="n">
        <v>218145332</v>
      </c>
      <c r="B163" s="16" t="inlineStr">
        <is>
          <t>BODYCOTE PLC</t>
        </is>
      </c>
      <c r="C163" s="17" t="n">
        <v>2</v>
      </c>
      <c r="D163" s="17" t="inlineStr">
        <is>
          <t>FY2024</t>
        </is>
      </c>
      <c r="E163" s="18" t="n">
        <v>715000000</v>
      </c>
      <c r="F163" s="18" t="n">
        <v>85000000</v>
      </c>
      <c r="G163" s="18" t="n">
        <v>108000000</v>
      </c>
      <c r="H163" s="19">
        <f>IF(OR(E163="",F163=""),"",F163/E163)</f>
        <v/>
      </c>
      <c r="I163" s="19">
        <f>IF(OR(E163="",G163=""),"",G163/E163)</f>
        <v/>
      </c>
      <c r="J163" s="19">
        <f>IF(OR(H163="",I163=""),"",H163+I163)</f>
        <v/>
      </c>
      <c r="K163" s="20" t="inlineStr">
        <is>
          <t>BMW, Volkswagen</t>
        </is>
      </c>
      <c r="L163" s="20" t="inlineStr">
        <is>
          <t>Heat treatment of powertrain gears, bearings, chassis parts</t>
        </is>
      </c>
      <c r="M163" s="17" t="inlineStr">
        <is>
          <t>FY2024</t>
        </is>
      </c>
      <c r="N163" s="20" t="inlineStr">
        <is>
          <t>Bodycote 2024 Annual Report (GBP ~£563M)</t>
        </is>
      </c>
    </row>
    <row r="164">
      <c r="A164" s="9" t="n">
        <v>175591072</v>
      </c>
      <c r="B164" s="10" t="inlineStr">
        <is>
          <t>TRIMAS CORP</t>
        </is>
      </c>
      <c r="C164" s="11" t="n">
        <v>2</v>
      </c>
      <c r="D164" s="11" t="inlineStr">
        <is>
          <t>Q3 2025</t>
        </is>
      </c>
      <c r="E164" s="12" t="n">
        <v>696960000</v>
      </c>
      <c r="F164" s="12" t="n">
        <v>115380000</v>
      </c>
      <c r="G164" s="12" t="n">
        <v>38570000</v>
      </c>
      <c r="H164" s="13">
        <f>IF(OR(E164="",F164=""),"",F164/E164)</f>
        <v/>
      </c>
      <c r="I164" s="13">
        <f>IF(OR(E164="",G164=""),"",G164/E164)</f>
        <v/>
      </c>
      <c r="J164" s="13">
        <f>IF(OR(H164="",I164=""),"",H164+I164)</f>
        <v/>
      </c>
      <c r="K164" s="14" t="inlineStr">
        <is>
          <t>General Motors, Ford, Stellantis</t>
        </is>
      </c>
      <c r="L164" s="14" t="inlineStr">
        <is>
          <t>Aerospace &amp; auto specialty products, steel parts</t>
        </is>
      </c>
      <c r="M164" s="11" t="inlineStr">
        <is>
          <t>Q3 2025</t>
        </is>
      </c>
      <c r="N164" s="14" t="inlineStr">
        <is>
          <t>SEC 10-Q</t>
        </is>
      </c>
    </row>
    <row r="165">
      <c r="A165" s="15" t="n">
        <v>687769307</v>
      </c>
      <c r="B165" s="16" t="inlineStr">
        <is>
          <t>DY CORPORATION</t>
        </is>
      </c>
      <c r="C165" s="17" t="n">
        <v>2</v>
      </c>
      <c r="D165" s="17" t="inlineStr">
        <is>
          <t>FY2024</t>
        </is>
      </c>
      <c r="E165" s="18" t="n">
        <v>694000000</v>
      </c>
      <c r="F165" s="18" t="n">
        <v>26000000</v>
      </c>
      <c r="G165" s="18" t="n">
        <v>23000000</v>
      </c>
      <c r="H165" s="19">
        <f>IF(OR(E165="",F165=""),"",F165/E165)</f>
        <v/>
      </c>
      <c r="I165" s="19">
        <f>IF(OR(E165="",G165=""),"",G165/E165)</f>
        <v/>
      </c>
      <c r="J165" s="19">
        <f>IF(OR(H165="",I165=""),"",H165+I165)</f>
        <v/>
      </c>
      <c r="K165" s="20" t="inlineStr">
        <is>
          <t>General Motors, Hyundai, Kia</t>
        </is>
      </c>
      <c r="L165" s="20" t="inlineStr">
        <is>
          <t>Wire harnesses, high-voltage harnesses, connectors</t>
        </is>
      </c>
      <c r="M165" s="17" t="inlineStr">
        <is>
          <t>FY2024</t>
        </is>
      </c>
      <c r="N165" s="20" t="inlineStr">
        <is>
          <t>DY Corp 2024 Annual Report (KRW ~951B)</t>
        </is>
      </c>
    </row>
    <row r="166">
      <c r="A166" s="9" t="n">
        <v>690691134</v>
      </c>
      <c r="B166" s="10" t="inlineStr">
        <is>
          <t>NISSHINBO HOLDINGS INC</t>
        </is>
      </c>
      <c r="C166" s="11" t="n">
        <v>2</v>
      </c>
      <c r="D166" s="11" t="inlineStr">
        <is>
          <t>Q2 2024</t>
        </is>
      </c>
      <c r="E166" s="12" t="n">
        <v>683886729</v>
      </c>
      <c r="F166" s="12" t="n"/>
      <c r="G166" s="12" t="n">
        <v>-8956345</v>
      </c>
      <c r="H166" s="13">
        <f>IF(OR(E166="",F166=""),"",F166/E166)</f>
        <v/>
      </c>
      <c r="I166" s="13">
        <f>IF(OR(E166="",G166=""),"",G166/E166)</f>
        <v/>
      </c>
      <c r="J166" s="13">
        <f>IF(OR(H166="",I166=""),"",H166+I166)</f>
        <v/>
      </c>
      <c r="K166" s="14" t="inlineStr">
        <is>
          <t>Ford, General Motors, Toyota, Volkswagen</t>
        </is>
      </c>
      <c r="L166" s="14" t="inlineStr">
        <is>
          <t>Brake pads, brake shoes, electronic circuits, NVH products</t>
        </is>
      </c>
      <c r="M166" s="11" t="inlineStr">
        <is>
          <t>Q2 2024</t>
        </is>
      </c>
      <c r="N166" s="14" t="inlineStr">
        <is>
          <t>Yahoo Finance (3105.T)</t>
        </is>
      </c>
    </row>
    <row r="167">
      <c r="A167" s="15" t="n">
        <v>690537287</v>
      </c>
      <c r="B167" s="16" t="inlineStr">
        <is>
          <t>MITSUBOSHI BELTING LTD</t>
        </is>
      </c>
      <c r="C167" s="17" t="n">
        <v>2</v>
      </c>
      <c r="D167" s="17" t="inlineStr">
        <is>
          <t>FY Mar2025</t>
        </is>
      </c>
      <c r="E167" s="18" t="n">
        <v>680000000</v>
      </c>
      <c r="F167" s="18" t="n">
        <v>35000000</v>
      </c>
      <c r="G167" s="18" t="n">
        <v>42000000</v>
      </c>
      <c r="H167" s="19">
        <f>IF(OR(E167="",F167=""),"",F167/E167)</f>
        <v/>
      </c>
      <c r="I167" s="19">
        <f>IF(OR(E167="",G167=""),"",G167/E167)</f>
        <v/>
      </c>
      <c r="J167" s="19">
        <f>IF(OR(H167="",I167=""),"",H167+I167)</f>
        <v/>
      </c>
      <c r="K167" s="20" t="inlineStr">
        <is>
          <t>Volkswagen, Stellantis, Toyota, Renault, Hyundai</t>
        </is>
      </c>
      <c r="L167" s="20" t="inlineStr">
        <is>
          <t>Timing belts, poly-V belts, flat belts</t>
        </is>
      </c>
      <c r="M167" s="17" t="inlineStr">
        <is>
          <t>FY Mar2025</t>
        </is>
      </c>
      <c r="N167" s="20" t="inlineStr">
        <is>
          <t>Mitsuboshi Belting FY2024 Annual Report (JPY ~101B)</t>
        </is>
      </c>
    </row>
    <row r="168">
      <c r="A168" s="9" t="n">
        <v>212398689</v>
      </c>
      <c r="B168" s="10" t="inlineStr">
        <is>
          <t>TT ELECTRONICS PLC</t>
        </is>
      </c>
      <c r="C168" s="11" t="n">
        <v>2</v>
      </c>
      <c r="D168" s="11" t="inlineStr">
        <is>
          <t>FY2024</t>
        </is>
      </c>
      <c r="E168" s="12" t="n">
        <v>640000000</v>
      </c>
      <c r="F168" s="12" t="n">
        <v>45000000</v>
      </c>
      <c r="G168" s="12" t="n">
        <v>38000000</v>
      </c>
      <c r="H168" s="13">
        <f>IF(OR(E168="",F168=""),"",F168/E168)</f>
        <v/>
      </c>
      <c r="I168" s="13">
        <f>IF(OR(E168="",G168=""),"",G168/E168)</f>
        <v/>
      </c>
      <c r="J168" s="13">
        <f>IF(OR(H168="",I168=""),"",H168+I168)</f>
        <v/>
      </c>
      <c r="K168" s="14" t="inlineStr">
        <is>
          <t>BMW, Mercedes</t>
        </is>
      </c>
      <c r="L168" s="14" t="inlineStr">
        <is>
          <t>Position sensors, power electronics, sensors for auto</t>
        </is>
      </c>
      <c r="M168" s="11" t="inlineStr">
        <is>
          <t>FY2024</t>
        </is>
      </c>
      <c r="N168" s="14" t="inlineStr">
        <is>
          <t>TT Electronics 2024 Annual Report (GBP ~£505M)</t>
        </is>
      </c>
    </row>
    <row r="169">
      <c r="A169" s="15" t="n">
        <v>690599097</v>
      </c>
      <c r="B169" s="16" t="inlineStr">
        <is>
          <t>THK CO LTD</t>
        </is>
      </c>
      <c r="C169" s="17" t="n">
        <v>2</v>
      </c>
      <c r="D169" s="17" t="inlineStr">
        <is>
          <t>Q2 2024</t>
        </is>
      </c>
      <c r="E169" s="18" t="n">
        <v>592885806</v>
      </c>
      <c r="F169" s="18" t="n">
        <v>99007292</v>
      </c>
      <c r="G169" s="18" t="n">
        <v>39144747</v>
      </c>
      <c r="H169" s="19">
        <f>IF(OR(E169="",F169=""),"",F169/E169)</f>
        <v/>
      </c>
      <c r="I169" s="19">
        <f>IF(OR(E169="",G169=""),"",G169/E169)</f>
        <v/>
      </c>
      <c r="J169" s="19">
        <f>IF(OR(H169="",I169=""),"",H169+I169)</f>
        <v/>
      </c>
      <c r="K169" s="20" t="inlineStr">
        <is>
          <t>Toyota, Honda, General Motors</t>
        </is>
      </c>
      <c r="L169" s="20" t="inlineStr">
        <is>
          <t>Linear motion guides, ball screws, automotive actuators</t>
        </is>
      </c>
      <c r="M169" s="17" t="inlineStr">
        <is>
          <t>Q2 2024</t>
        </is>
      </c>
      <c r="N169" s="20" t="inlineStr">
        <is>
          <t>Yahoo Finance (6481.T)</t>
        </is>
      </c>
    </row>
    <row r="170">
      <c r="A170" s="9" t="n">
        <v>656275658</v>
      </c>
      <c r="B170" s="10" t="inlineStr">
        <is>
          <t>DEPO AUTO PARTS IND CO LTD</t>
        </is>
      </c>
      <c r="C170" s="11" t="n">
        <v>2</v>
      </c>
      <c r="D170" s="11" t="inlineStr">
        <is>
          <t>FY2024</t>
        </is>
      </c>
      <c r="E170" s="12" t="n">
        <v>580000000</v>
      </c>
      <c r="F170" s="12" t="n">
        <v>35000000</v>
      </c>
      <c r="G170" s="12" t="n">
        <v>62000000</v>
      </c>
      <c r="H170" s="13">
        <f>IF(OR(E170="",F170=""),"",F170/E170)</f>
        <v/>
      </c>
      <c r="I170" s="13">
        <f>IF(OR(E170="",G170=""),"",G170/E170)</f>
        <v/>
      </c>
      <c r="J170" s="13">
        <f>IF(OR(H170="",I170=""),"",H170+I170)</f>
        <v/>
      </c>
      <c r="K170" s="14" t="inlineStr">
        <is>
          <t>Toyota, Honda, Nissan, Ford, General Motors, BMW</t>
        </is>
      </c>
      <c r="L170" s="14" t="inlineStr">
        <is>
          <t>Aftermarket headlamps, tail lamps, fog lamps</t>
        </is>
      </c>
      <c r="M170" s="11" t="inlineStr">
        <is>
          <t>FY2024</t>
        </is>
      </c>
      <c r="N170" s="14" t="inlineStr">
        <is>
          <t>Depo Auto Parts 2024 Annual Report (TWD estimate)</t>
        </is>
      </c>
    </row>
    <row r="171">
      <c r="A171" s="15" t="n">
        <v>690536404</v>
      </c>
      <c r="B171" s="16" t="inlineStr">
        <is>
          <t>PACIFIC INDUSTRIAL CO LTD</t>
        </is>
      </c>
      <c r="C171" s="17" t="n">
        <v>2</v>
      </c>
      <c r="D171" s="17" t="inlineStr">
        <is>
          <t>FY Mar2025</t>
        </is>
      </c>
      <c r="E171" s="18" t="n">
        <v>580000000</v>
      </c>
      <c r="F171" s="18" t="n">
        <v>28000000</v>
      </c>
      <c r="G171" s="18" t="n">
        <v>34000000</v>
      </c>
      <c r="H171" s="19">
        <f>IF(OR(E171="",F171=""),"",F171/E171)</f>
        <v/>
      </c>
      <c r="I171" s="19">
        <f>IF(OR(E171="",G171=""),"",G171/E171)</f>
        <v/>
      </c>
      <c r="J171" s="19">
        <f>IF(OR(H171="",I171=""),"",H171+I171)</f>
        <v/>
      </c>
      <c r="K171" s="20" t="inlineStr">
        <is>
          <t>General Motors, Toyota, Honda, Nissan, Ford</t>
        </is>
      </c>
      <c r="L171" s="20" t="inlineStr">
        <is>
          <t>Tire pressure valves, TPMS valve cores, plastic &amp; rubber parts</t>
        </is>
      </c>
      <c r="M171" s="17" t="inlineStr">
        <is>
          <t>FY Mar2025</t>
        </is>
      </c>
      <c r="N171" s="20" t="inlineStr">
        <is>
          <t>Pacific Industrial FY2024 Annual Report (JPY ~87B)</t>
        </is>
      </c>
    </row>
    <row r="172">
      <c r="A172" s="9" t="n">
        <v>717684106</v>
      </c>
      <c r="B172" s="10" t="inlineStr">
        <is>
          <t>DIAMOND ELECTRIC HOLDINGS CO LTD</t>
        </is>
      </c>
      <c r="C172" s="11" t="n">
        <v>2</v>
      </c>
      <c r="D172" s="11" t="inlineStr">
        <is>
          <t>FY Mar2025</t>
        </is>
      </c>
      <c r="E172" s="12" t="n">
        <v>570000000</v>
      </c>
      <c r="F172" s="12" t="n">
        <v>32000000</v>
      </c>
      <c r="G172" s="12" t="n">
        <v>38000000</v>
      </c>
      <c r="H172" s="13">
        <f>IF(OR(E172="",F172=""),"",F172/E172)</f>
        <v/>
      </c>
      <c r="I172" s="13">
        <f>IF(OR(E172="",G172=""),"",G172/E172)</f>
        <v/>
      </c>
      <c r="J172" s="13">
        <f>IF(OR(H172="",I172=""),"",H172+I172)</f>
        <v/>
      </c>
      <c r="K172" s="14" t="inlineStr">
        <is>
          <t>Ford, Subaru, General Motors, Toyota, Honda</t>
        </is>
      </c>
      <c r="L172" s="14" t="inlineStr">
        <is>
          <t>Ignition coils, ignition modules, distributors</t>
        </is>
      </c>
      <c r="M172" s="11" t="inlineStr">
        <is>
          <t>FY Mar2025</t>
        </is>
      </c>
      <c r="N172" s="14" t="inlineStr">
        <is>
          <t>Diamond Electric FY2024 Annual Report (JPY ~85B)</t>
        </is>
      </c>
    </row>
    <row r="173">
      <c r="A173" s="15" t="n">
        <v>44477123</v>
      </c>
      <c r="B173" s="16" t="inlineStr">
        <is>
          <t>MOTORCAR PARTS OF AMERICA INC</t>
        </is>
      </c>
      <c r="C173" s="17" t="n">
        <v>2</v>
      </c>
      <c r="D173" s="17" t="inlineStr">
        <is>
          <t>Q3 2026</t>
        </is>
      </c>
      <c r="E173" s="18" t="n">
        <v>564249000</v>
      </c>
      <c r="F173" s="18" t="n"/>
      <c r="G173" s="18" t="n">
        <v>23645000</v>
      </c>
      <c r="H173" s="19">
        <f>IF(OR(E173="",F173=""),"",F173/E173)</f>
        <v/>
      </c>
      <c r="I173" s="19">
        <f>IF(OR(E173="",G173=""),"",G173/E173)</f>
        <v/>
      </c>
      <c r="J173" s="19">
        <f>IF(OR(H173="",I173=""),"",H173+I173)</f>
        <v/>
      </c>
      <c r="K173" s="20" t="inlineStr">
        <is>
          <t>General Motors, Ford, Toyota, Honda, Hyundai</t>
        </is>
      </c>
      <c r="L173" s="20" t="inlineStr">
        <is>
          <t>Remanufactured alternators, starters, wheel hubs, brake calipers</t>
        </is>
      </c>
      <c r="M173" s="17" t="inlineStr">
        <is>
          <t>Q3 2026</t>
        </is>
      </c>
      <c r="N173" s="20" t="inlineStr">
        <is>
          <t>SEC 10-Q</t>
        </is>
      </c>
    </row>
    <row r="174">
      <c r="A174" s="9" t="n">
        <v>6100630</v>
      </c>
      <c r="B174" s="10" t="inlineStr">
        <is>
          <t>MAYVILLE ENGINEERING CO INC</t>
        </is>
      </c>
      <c r="C174" s="11" t="n">
        <v>2</v>
      </c>
      <c r="D174" s="11" t="inlineStr">
        <is>
          <t>FY2024</t>
        </is>
      </c>
      <c r="E174" s="12" t="n">
        <v>560000000</v>
      </c>
      <c r="F174" s="12" t="n">
        <v>38000000</v>
      </c>
      <c r="G174" s="12" t="n">
        <v>35000000</v>
      </c>
      <c r="H174" s="13">
        <f>IF(OR(E174="",F174=""),"",F174/E174)</f>
        <v/>
      </c>
      <c r="I174" s="13">
        <f>IF(OR(E174="",G174=""),"",G174/E174)</f>
        <v/>
      </c>
      <c r="J174" s="13">
        <f>IF(OR(H174="",I174=""),"",H174+I174)</f>
        <v/>
      </c>
      <c r="K174" s="14" t="inlineStr">
        <is>
          <t>Volvo</t>
        </is>
      </c>
      <c r="L174" s="14" t="inlineStr">
        <is>
          <t>Fabricated structural components, cylinder heads, chassis parts</t>
        </is>
      </c>
      <c r="M174" s="11" t="inlineStr">
        <is>
          <t>FY2024</t>
        </is>
      </c>
      <c r="N174" s="14" t="inlineStr">
        <is>
          <t>Mayville Engineering 2024 10-K</t>
        </is>
      </c>
    </row>
    <row r="175">
      <c r="A175" s="15" t="n">
        <v>4312401</v>
      </c>
      <c r="B175" s="16" t="inlineStr">
        <is>
          <t>WORTHINGTON INDUSTRIES INC</t>
        </is>
      </c>
      <c r="C175" s="17" t="n">
        <v>2</v>
      </c>
      <c r="D175" s="17" t="inlineStr">
        <is>
          <t>Q2 2026</t>
        </is>
      </c>
      <c r="E175" s="18" t="n">
        <v>531354000</v>
      </c>
      <c r="F175" s="18" t="n">
        <v>133954000</v>
      </c>
      <c r="G175" s="18" t="n">
        <v>-1178000</v>
      </c>
      <c r="H175" s="19">
        <f>IF(OR(E175="",F175=""),"",F175/E175)</f>
        <v/>
      </c>
      <c r="I175" s="19">
        <f>IF(OR(E175="",G175=""),"",G175/E175)</f>
        <v/>
      </c>
      <c r="J175" s="19">
        <f>IF(OR(H175="",I175=""),"",H175+I175)</f>
        <v/>
      </c>
      <c r="K175" s="20" t="inlineStr">
        <is>
          <t>General Motors, Stellantis</t>
        </is>
      </c>
      <c r="L175" s="20" t="inlineStr">
        <is>
          <t>Pressurized steel cylinders, custom steel processing, auto stampings</t>
        </is>
      </c>
      <c r="M175" s="17" t="inlineStr">
        <is>
          <t>Q2 2026</t>
        </is>
      </c>
      <c r="N175" s="20" t="inlineStr">
        <is>
          <t>SEC 10-Q</t>
        </is>
      </c>
    </row>
    <row r="176">
      <c r="A176" s="9" t="n">
        <v>690691068</v>
      </c>
      <c r="B176" s="10" t="inlineStr">
        <is>
          <t>NICHIRIN CO LTD</t>
        </is>
      </c>
      <c r="C176" s="11" t="n">
        <v>2</v>
      </c>
      <c r="D176" s="11" t="inlineStr">
        <is>
          <t>FY Mar2025</t>
        </is>
      </c>
      <c r="E176" s="12" t="n">
        <v>490000000</v>
      </c>
      <c r="F176" s="12" t="n">
        <v>23000000</v>
      </c>
      <c r="G176" s="12" t="n">
        <v>28000000</v>
      </c>
      <c r="H176" s="13">
        <f>IF(OR(E176="",F176=""),"",F176/E176)</f>
        <v/>
      </c>
      <c r="I176" s="13">
        <f>IF(OR(E176="",G176=""),"",G176/E176)</f>
        <v/>
      </c>
      <c r="J176" s="13">
        <f>IF(OR(H176="",I176=""),"",H176+I176)</f>
        <v/>
      </c>
      <c r="K176" s="14" t="inlineStr">
        <is>
          <t>Honda, Toyota, Nissan</t>
        </is>
      </c>
      <c r="L176" s="14" t="inlineStr">
        <is>
          <t>Brake hoses, fuel hoses, HVAC hoses</t>
        </is>
      </c>
      <c r="M176" s="11" t="inlineStr">
        <is>
          <t>FY Mar2025</t>
        </is>
      </c>
      <c r="N176" s="14" t="inlineStr">
        <is>
          <t>Nichirin FY2024 Annual Report (JPY ~73B)</t>
        </is>
      </c>
    </row>
    <row r="177">
      <c r="A177" s="15" t="n">
        <v>690549225</v>
      </c>
      <c r="B177" s="16" t="inlineStr">
        <is>
          <t>YOKOWO CO LTD</t>
        </is>
      </c>
      <c r="C177" s="17" t="n">
        <v>2</v>
      </c>
      <c r="D177" s="17" t="inlineStr">
        <is>
          <t>FY Mar2025</t>
        </is>
      </c>
      <c r="E177" s="18" t="n">
        <v>470000000</v>
      </c>
      <c r="F177" s="18" t="n">
        <v>25000000</v>
      </c>
      <c r="G177" s="18" t="n">
        <v>32000000</v>
      </c>
      <c r="H177" s="19">
        <f>IF(OR(E177="",F177=""),"",F177/E177)</f>
        <v/>
      </c>
      <c r="I177" s="19">
        <f>IF(OR(E177="",G177=""),"",G177/E177)</f>
        <v/>
      </c>
      <c r="J177" s="19">
        <f>IF(OR(H177="",I177=""),"",H177+I177)</f>
        <v/>
      </c>
      <c r="K177" s="20" t="inlineStr">
        <is>
          <t>Toyota, Honda, Nissan, Mazda</t>
        </is>
      </c>
      <c r="L177" s="20" t="inlineStr">
        <is>
          <t>Spring contacts, antennas, automotive connectors</t>
        </is>
      </c>
      <c r="M177" s="17" t="inlineStr">
        <is>
          <t>FY Mar2025</t>
        </is>
      </c>
      <c r="N177" s="20" t="inlineStr">
        <is>
          <t>Yokowo FY2024 Annual Report (JPY ~70B)</t>
        </is>
      </c>
    </row>
    <row r="178">
      <c r="A178" s="9" t="n">
        <v>690536123</v>
      </c>
      <c r="B178" s="10" t="inlineStr">
        <is>
          <t>RYOBI LTD</t>
        </is>
      </c>
      <c r="C178" s="11" t="n">
        <v>2</v>
      </c>
      <c r="D178" s="11" t="inlineStr">
        <is>
          <t>Q2 2024</t>
        </is>
      </c>
      <c r="E178" s="12" t="n">
        <v>467657652</v>
      </c>
      <c r="F178" s="12" t="n"/>
      <c r="G178" s="12" t="n">
        <v>15521828</v>
      </c>
      <c r="H178" s="13">
        <f>IF(OR(E178="",F178=""),"",F178/E178)</f>
        <v/>
      </c>
      <c r="I178" s="13">
        <f>IF(OR(E178="",G178=""),"",G178/E178)</f>
        <v/>
      </c>
      <c r="J178" s="13">
        <f>IF(OR(H178="",I178=""),"",H178+I178)</f>
        <v/>
      </c>
      <c r="K178" s="14" t="inlineStr">
        <is>
          <t>Volkswagen, Toyota</t>
        </is>
      </c>
      <c r="L178" s="14" t="inlineStr">
        <is>
          <t>Aluminum die castings, transmission cases, engine brackets, structural parts</t>
        </is>
      </c>
      <c r="M178" s="11" t="inlineStr">
        <is>
          <t>Q2 2024</t>
        </is>
      </c>
      <c r="N178" s="14" t="inlineStr">
        <is>
          <t>Yahoo Finance (5851.T)</t>
        </is>
      </c>
    </row>
    <row r="179">
      <c r="A179" s="15" t="n">
        <v>117688620</v>
      </c>
      <c r="B179" s="16" t="inlineStr">
        <is>
          <t>HOLLEY INC</t>
        </is>
      </c>
      <c r="C179" s="17" t="n">
        <v>2</v>
      </c>
      <c r="D179" s="17" t="inlineStr">
        <is>
          <t>Q3 2025</t>
        </is>
      </c>
      <c r="E179" s="18" t="n">
        <v>462170000</v>
      </c>
      <c r="F179" s="18" t="n">
        <v>97675000</v>
      </c>
      <c r="G179" s="18" t="n">
        <v>43649000</v>
      </c>
      <c r="H179" s="19">
        <f>IF(OR(E179="",F179=""),"",F179/E179)</f>
        <v/>
      </c>
      <c r="I179" s="19">
        <f>IF(OR(E179="",G179=""),"",G179/E179)</f>
        <v/>
      </c>
      <c r="J179" s="19">
        <f>IF(OR(H179="",I179=""),"",H179+I179)</f>
        <v/>
      </c>
      <c r="K179" s="20" t="inlineStr">
        <is>
          <t>General Motors</t>
        </is>
      </c>
      <c r="L179" s="20" t="inlineStr">
        <is>
          <t>Performance carburetors, fuel injection systems, exhaust systems</t>
        </is>
      </c>
      <c r="M179" s="17" t="inlineStr">
        <is>
          <t>Q3 2025</t>
        </is>
      </c>
      <c r="N179" s="20" t="inlineStr">
        <is>
          <t>SEC 10-Q</t>
        </is>
      </c>
    </row>
    <row r="180">
      <c r="A180" s="9" t="n">
        <v>690555933</v>
      </c>
      <c r="B180" s="10" t="inlineStr">
        <is>
          <t>FOSTER ELECTRIC CO LTD</t>
        </is>
      </c>
      <c r="C180" s="11" t="n">
        <v>2</v>
      </c>
      <c r="D180" s="11" t="inlineStr">
        <is>
          <t>FY Mar2025</t>
        </is>
      </c>
      <c r="E180" s="12" t="n">
        <v>460000000</v>
      </c>
      <c r="F180" s="12" t="n">
        <v>24000000</v>
      </c>
      <c r="G180" s="12" t="n">
        <v>18000000</v>
      </c>
      <c r="H180" s="13">
        <f>IF(OR(E180="",F180=""),"",F180/E180)</f>
        <v/>
      </c>
      <c r="I180" s="13">
        <f>IF(OR(E180="",G180=""),"",G180/E180)</f>
        <v/>
      </c>
      <c r="J180" s="13">
        <f>IF(OR(H180="",I180=""),"",H180+I180)</f>
        <v/>
      </c>
      <c r="K180" s="14" t="inlineStr">
        <is>
          <t>Toyota, Honda, Nissan, Suzuki, Mazda, Subaru, General Motors</t>
        </is>
      </c>
      <c r="L180" s="14" t="inlineStr">
        <is>
          <t>Speakers, microphones, actuators for automotive</t>
        </is>
      </c>
      <c r="M180" s="11" t="inlineStr">
        <is>
          <t>FY Mar2025</t>
        </is>
      </c>
      <c r="N180" s="14" t="inlineStr">
        <is>
          <t>Foster Electric FY2024 Annual Report (JPY ~69B)</t>
        </is>
      </c>
    </row>
    <row r="181">
      <c r="A181" s="15" t="n">
        <v>315342345</v>
      </c>
      <c r="B181" s="16" t="inlineStr">
        <is>
          <t>ELRINGKLINGER AG</t>
        </is>
      </c>
      <c r="C181" s="17" t="n">
        <v>2</v>
      </c>
      <c r="D181" s="17" t="inlineStr">
        <is>
          <t>Q3 2025</t>
        </is>
      </c>
      <c r="E181" s="18" t="n">
        <v>453268748</v>
      </c>
      <c r="F181" s="18" t="n">
        <v>78034380</v>
      </c>
      <c r="G181" s="18" t="n">
        <v>5150716</v>
      </c>
      <c r="H181" s="19">
        <f>IF(OR(E181="",F181=""),"",F181/E181)</f>
        <v/>
      </c>
      <c r="I181" s="19">
        <f>IF(OR(E181="",G181=""),"",G181/E181)</f>
        <v/>
      </c>
      <c r="J181" s="19">
        <f>IF(OR(H181="",I181=""),"",H181+I181)</f>
        <v/>
      </c>
      <c r="K181" s="20" t="inlineStr">
        <is>
          <t>Volkswagen, Mercedes, BMW, Tesla</t>
        </is>
      </c>
      <c r="L181" s="20" t="inlineStr">
        <is>
          <t>Cylinder head gaskets, special gaskets, shielding, EV battery cell frames</t>
        </is>
      </c>
      <c r="M181" s="17" t="inlineStr">
        <is>
          <t>Q3 2025</t>
        </is>
      </c>
      <c r="N181" s="20" t="inlineStr">
        <is>
          <t>Yahoo Finance (ZIL2.DE)</t>
        </is>
      </c>
    </row>
    <row r="182">
      <c r="A182" s="9" t="n">
        <v>44694040</v>
      </c>
      <c r="B182" s="10" t="inlineStr">
        <is>
          <t>VOXX INTERNATIONAL CORP</t>
        </is>
      </c>
      <c r="C182" s="11" t="n">
        <v>2</v>
      </c>
      <c r="D182" s="11" t="inlineStr">
        <is>
          <t>FY Feb2025</t>
        </is>
      </c>
      <c r="E182" s="12" t="n">
        <v>410000000</v>
      </c>
      <c r="F182" s="12" t="n">
        <v>78000000</v>
      </c>
      <c r="G182" s="12" t="n">
        <v>-24000000</v>
      </c>
      <c r="H182" s="13">
        <f>IF(OR(E182="",F182=""),"",F182/E182)</f>
        <v/>
      </c>
      <c r="I182" s="13">
        <f>IF(OR(E182="",G182=""),"",G182/E182)</f>
        <v/>
      </c>
      <c r="J182" s="13">
        <f>IF(OR(H182="",I182=""),"",H182+I182)</f>
        <v/>
      </c>
      <c r="K182" s="14" t="inlineStr">
        <is>
          <t>Stellantis, Ford, General Motors, Nissan, Subaru</t>
        </is>
      </c>
      <c r="L182" s="14" t="inlineStr">
        <is>
          <t>Remote start systems, vehicle security, OEM electronics</t>
        </is>
      </c>
      <c r="M182" s="11" t="inlineStr">
        <is>
          <t>FY Feb2025</t>
        </is>
      </c>
      <c r="N182" s="14" t="inlineStr">
        <is>
          <t>VOXX International FY2025 10-K</t>
        </is>
      </c>
    </row>
    <row r="183">
      <c r="A183" s="15" t="n">
        <v>5068515</v>
      </c>
      <c r="B183" s="16" t="inlineStr">
        <is>
          <t>CTS CORP</t>
        </is>
      </c>
      <c r="C183" s="17" t="n">
        <v>2</v>
      </c>
      <c r="D183" s="17" t="inlineStr">
        <is>
          <t>Q3 2025</t>
        </is>
      </c>
      <c r="E183" s="18" t="n">
        <v>388296000</v>
      </c>
      <c r="F183" s="18" t="n">
        <v>66100000</v>
      </c>
      <c r="G183" s="18" t="n">
        <v>53176000</v>
      </c>
      <c r="H183" s="19">
        <f>IF(OR(E183="",F183=""),"",F183/E183)</f>
        <v/>
      </c>
      <c r="I183" s="19">
        <f>IF(OR(E183="",G183=""),"",G183/E183)</f>
        <v/>
      </c>
      <c r="J183" s="19">
        <f>IF(OR(H183="",I183=""),"",H183+I183)</f>
        <v/>
      </c>
      <c r="K183" s="20" t="inlineStr">
        <is>
          <t>General Motors, Ford, Toyota, Honda</t>
        </is>
      </c>
      <c r="L183" s="20" t="inlineStr">
        <is>
          <t>Pedal sensors, transmission sensors, actuators, temperature sensors</t>
        </is>
      </c>
      <c r="M183" s="17" t="inlineStr">
        <is>
          <t>Q3 2025</t>
        </is>
      </c>
      <c r="N183" s="20" t="inlineStr">
        <is>
          <t>SEC 10-Q</t>
        </is>
      </c>
    </row>
    <row r="184">
      <c r="A184" s="9" t="n">
        <v>690644729</v>
      </c>
      <c r="B184" s="10" t="inlineStr">
        <is>
          <t>DAIDO CORP</t>
        </is>
      </c>
      <c r="C184" s="11" t="n">
        <v>2</v>
      </c>
      <c r="D184" s="11" t="inlineStr">
        <is>
          <t>FY Mar2025</t>
        </is>
      </c>
      <c r="E184" s="12" t="n">
        <v>360000000</v>
      </c>
      <c r="F184" s="12" t="n">
        <v>18000000</v>
      </c>
      <c r="G184" s="12" t="n">
        <v>15000000</v>
      </c>
      <c r="H184" s="13">
        <f>IF(OR(E184="",F184=""),"",F184/E184)</f>
        <v/>
      </c>
      <c r="I184" s="13">
        <f>IF(OR(E184="",G184=""),"",G184/E184)</f>
        <v/>
      </c>
      <c r="J184" s="13">
        <f>IF(OR(H184="",I184=""),"",H184+I184)</f>
        <v/>
      </c>
      <c r="K184" s="14" t="inlineStr">
        <is>
          <t>Toyota, Honda, Volkswagen, Nissan, General Motors</t>
        </is>
      </c>
      <c r="L184" s="14" t="inlineStr">
        <is>
          <t>Steel wire rope, suspension wires, window regulator cables</t>
        </is>
      </c>
      <c r="M184" s="11" t="inlineStr">
        <is>
          <t>FY Mar2025</t>
        </is>
      </c>
      <c r="N184" s="14" t="inlineStr">
        <is>
          <t>Daido Corp FY2024 Annual Report (JPY ~54B)</t>
        </is>
      </c>
    </row>
    <row r="185">
      <c r="A185" s="15" t="n">
        <v>690673546</v>
      </c>
      <c r="B185" s="16" t="inlineStr">
        <is>
          <t>NIPPON SEIKI CO LTD</t>
        </is>
      </c>
      <c r="C185" s="17" t="n">
        <v>2</v>
      </c>
      <c r="D185" s="17" t="inlineStr">
        <is>
          <t>Q2 2024</t>
        </is>
      </c>
      <c r="E185" s="18" t="n">
        <v>352395563</v>
      </c>
      <c r="F185" s="18" t="n"/>
      <c r="G185" s="18" t="n">
        <v>145617277</v>
      </c>
      <c r="H185" s="19">
        <f>IF(OR(E185="",F185=""),"",F185/E185)</f>
        <v/>
      </c>
      <c r="I185" s="19">
        <f>IF(OR(E185="",G185=""),"",G185/E185)</f>
        <v/>
      </c>
      <c r="J185" s="19">
        <f>IF(OR(H185="",I185=""),"",H185+I185)</f>
        <v/>
      </c>
      <c r="K185" s="20" t="inlineStr">
        <is>
          <t>General Motors, Honda, Nissan, Mazda, Subaru, BMW</t>
        </is>
      </c>
      <c r="L185" s="20" t="inlineStr">
        <is>
          <t>Digital instrument clusters, head-up displays, meters, gauges</t>
        </is>
      </c>
      <c r="M185" s="17" t="inlineStr">
        <is>
          <t>Q2 2024</t>
        </is>
      </c>
      <c r="N185" s="20" t="inlineStr">
        <is>
          <t>Yahoo Finance (6920.T)</t>
        </is>
      </c>
    </row>
    <row r="186">
      <c r="A186" s="9" t="n">
        <v>690595079</v>
      </c>
      <c r="B186" s="10" t="inlineStr">
        <is>
          <t>HARADA INDUSTRY CO LTD</t>
        </is>
      </c>
      <c r="C186" s="11" t="n">
        <v>2</v>
      </c>
      <c r="D186" s="11" t="inlineStr">
        <is>
          <t>FY Mar2025</t>
        </is>
      </c>
      <c r="E186" s="12" t="n">
        <v>350000000</v>
      </c>
      <c r="F186" s="12" t="n">
        <v>18000000</v>
      </c>
      <c r="G186" s="12" t="n">
        <v>12000000</v>
      </c>
      <c r="H186" s="13">
        <f>IF(OR(E186="",F186=""),"",F186/E186)</f>
        <v/>
      </c>
      <c r="I186" s="13">
        <f>IF(OR(E186="",G186=""),"",G186/E186)</f>
        <v/>
      </c>
      <c r="J186" s="13">
        <f>IF(OR(H186="",I186=""),"",H186+I186)</f>
        <v/>
      </c>
      <c r="K186" s="14" t="inlineStr">
        <is>
          <t>Toyota, Nissan, General Motors, Ford, Honda</t>
        </is>
      </c>
      <c r="L186" s="14" t="inlineStr">
        <is>
          <t>Roof-mount antennas, shark-fin antennas, window antennas</t>
        </is>
      </c>
      <c r="M186" s="11" t="inlineStr">
        <is>
          <t>FY Mar2025</t>
        </is>
      </c>
      <c r="N186" s="14" t="inlineStr">
        <is>
          <t>Harada Industry FY2024 Annual Report (JPY ~52B)</t>
        </is>
      </c>
    </row>
    <row r="187">
      <c r="A187" s="15" t="n">
        <v>690677380</v>
      </c>
      <c r="B187" s="16" t="inlineStr">
        <is>
          <t>SANKO GOSEI LTD</t>
        </is>
      </c>
      <c r="C187" s="17" t="n">
        <v>2</v>
      </c>
      <c r="D187" s="17" t="inlineStr">
        <is>
          <t>FY Mar2025</t>
        </is>
      </c>
      <c r="E187" s="18" t="n">
        <v>350000000</v>
      </c>
      <c r="F187" s="18" t="n">
        <v>18000000</v>
      </c>
      <c r="G187" s="18" t="n">
        <v>12000000</v>
      </c>
      <c r="H187" s="19">
        <f>IF(OR(E187="",F187=""),"",F187/E187)</f>
        <v/>
      </c>
      <c r="I187" s="19">
        <f>IF(OR(E187="",G187=""),"",G187/E187)</f>
        <v/>
      </c>
      <c r="J187" s="19">
        <f>IF(OR(H187="",I187=""),"",H187+I187)</f>
        <v/>
      </c>
      <c r="K187" s="20" t="inlineStr">
        <is>
          <t>Toyota, Honda</t>
        </is>
      </c>
      <c r="L187" s="20" t="inlineStr">
        <is>
          <t>Interior plastic components, bumpers, door trims</t>
        </is>
      </c>
      <c r="M187" s="17" t="inlineStr">
        <is>
          <t>FY Mar2025</t>
        </is>
      </c>
      <c r="N187" s="20" t="inlineStr">
        <is>
          <t>Sanko Gosei FY2024 Annual Report (JPY ~52B)</t>
        </is>
      </c>
    </row>
    <row r="188">
      <c r="A188" s="9" t="n">
        <v>815557373</v>
      </c>
      <c r="B188" s="10" t="inlineStr">
        <is>
          <t>XIN POINT HOLDINGS LTD</t>
        </is>
      </c>
      <c r="C188" s="11" t="n">
        <v>2</v>
      </c>
      <c r="D188" s="11" t="inlineStr">
        <is>
          <t>FY2024</t>
        </is>
      </c>
      <c r="E188" s="12" t="n">
        <v>340000000</v>
      </c>
      <c r="F188" s="12" t="n">
        <v>18000000</v>
      </c>
      <c r="G188" s="12" t="n">
        <v>32000000</v>
      </c>
      <c r="H188" s="13">
        <f>IF(OR(E188="",F188=""),"",F188/E188)</f>
        <v/>
      </c>
      <c r="I188" s="13">
        <f>IF(OR(E188="",G188=""),"",G188/E188)</f>
        <v/>
      </c>
      <c r="J188" s="13">
        <f>IF(OR(H188="",I188=""),"",H188+I188)</f>
        <v/>
      </c>
      <c r="K188" s="14" t="inlineStr">
        <is>
          <t>General Motors, Mercedes, Volvo, BMW, Ford, Honda</t>
        </is>
      </c>
      <c r="L188" s="14" t="inlineStr">
        <is>
          <t>Metal trim pieces, side moldings, decorative trim</t>
        </is>
      </c>
      <c r="M188" s="11" t="inlineStr">
        <is>
          <t>FY2024</t>
        </is>
      </c>
      <c r="N188" s="14" t="inlineStr">
        <is>
          <t>Xin Point Holdings 2024 Annual Report</t>
        </is>
      </c>
    </row>
    <row r="189">
      <c r="A189" s="15" t="n">
        <v>965507312</v>
      </c>
      <c r="B189" s="16" t="inlineStr">
        <is>
          <t>CORE MOLDING TECHNOLOGIES INC</t>
        </is>
      </c>
      <c r="C189" s="17" t="n">
        <v>2</v>
      </c>
      <c r="D189" s="17" t="inlineStr">
        <is>
          <t>FY2024</t>
        </is>
      </c>
      <c r="E189" s="18" t="n">
        <v>338200000</v>
      </c>
      <c r="F189" s="18" t="n">
        <v>25100000</v>
      </c>
      <c r="G189" s="18" t="n">
        <v>28900000</v>
      </c>
      <c r="H189" s="19">
        <f>IF(OR(E189="",F189=""),"",F189/E189)</f>
        <v/>
      </c>
      <c r="I189" s="19">
        <f>IF(OR(E189="",G189=""),"",G189/E189)</f>
        <v/>
      </c>
      <c r="J189" s="19">
        <f>IF(OR(H189="",I189=""),"",H189+I189)</f>
        <v/>
      </c>
      <c r="K189" s="20" t="inlineStr">
        <is>
          <t>Volvo, Ford, BMW, General Motors</t>
        </is>
      </c>
      <c r="L189" s="20" t="inlineStr">
        <is>
          <t>Fiberglass composite hoods, fenders, roofs, cab panels</t>
        </is>
      </c>
      <c r="M189" s="17" t="inlineStr">
        <is>
          <t>FY2024</t>
        </is>
      </c>
      <c r="N189" s="20" t="inlineStr">
        <is>
          <t>Core Molding Technologies 2024 10-K</t>
        </is>
      </c>
    </row>
    <row r="190">
      <c r="A190" s="9" t="n">
        <v>400652919</v>
      </c>
      <c r="B190" s="10" t="inlineStr">
        <is>
          <t>STABILUS SA</t>
        </is>
      </c>
      <c r="C190" s="11" t="n">
        <v>2</v>
      </c>
      <c r="D190" s="11" t="inlineStr">
        <is>
          <t>Q4 2025</t>
        </is>
      </c>
      <c r="E190" s="12" t="n">
        <v>333684799</v>
      </c>
      <c r="F190" s="12" t="n">
        <v>56472204</v>
      </c>
      <c r="G190" s="12" t="n">
        <v>21469340</v>
      </c>
      <c r="H190" s="13">
        <f>IF(OR(E190="",F190=""),"",F190/E190)</f>
        <v/>
      </c>
      <c r="I190" s="13">
        <f>IF(OR(E190="",G190=""),"",G190/E190)</f>
        <v/>
      </c>
      <c r="J190" s="13">
        <f>IF(OR(H190="",I190=""),"",H190+I190)</f>
        <v/>
      </c>
      <c r="K190" s="14" t="inlineStr">
        <is>
          <t>Volkswagen, BMW, Ford, Tesla, General Motors</t>
        </is>
      </c>
      <c r="L190" s="14" t="inlineStr">
        <is>
          <t>Gas springs, power struts, liftgate actuators, trunk lifters</t>
        </is>
      </c>
      <c r="M190" s="11" t="inlineStr">
        <is>
          <t>Q4 2025</t>
        </is>
      </c>
      <c r="N190" s="14" t="inlineStr">
        <is>
          <t>Yahoo Finance (STM.DE)</t>
        </is>
      </c>
    </row>
    <row r="191">
      <c r="A191" s="15" t="n">
        <v>506707343</v>
      </c>
      <c r="B191" s="16" t="inlineStr">
        <is>
          <t>NORMA GROUP SE</t>
        </is>
      </c>
      <c r="C191" s="17" t="n">
        <v>2</v>
      </c>
      <c r="D191" s="17" t="inlineStr">
        <is>
          <t>Q2 2025</t>
        </is>
      </c>
      <c r="E191" s="18" t="n">
        <v>332813739</v>
      </c>
      <c r="F191" s="18" t="n"/>
      <c r="G191" s="18" t="n">
        <v>21871632</v>
      </c>
      <c r="H191" s="19">
        <f>IF(OR(E191="",F191=""),"",F191/E191)</f>
        <v/>
      </c>
      <c r="I191" s="19">
        <f>IF(OR(E191="",G191=""),"",G191/E191)</f>
        <v/>
      </c>
      <c r="J191" s="19">
        <f>IF(OR(H191="",I191=""),"",H191+I191)</f>
        <v/>
      </c>
      <c r="K191" s="20" t="inlineStr">
        <is>
          <t>N/A</t>
        </is>
      </c>
      <c r="L191" s="20" t="inlineStr">
        <is>
          <t>Clamps, connectors, hose couplings for fluid management</t>
        </is>
      </c>
      <c r="M191" s="17" t="inlineStr">
        <is>
          <t>Q2 2025</t>
        </is>
      </c>
      <c r="N191" s="20" t="inlineStr">
        <is>
          <t>Yahoo Finance (NOEJ.DE)</t>
        </is>
      </c>
    </row>
    <row r="192">
      <c r="A192" s="9" t="n">
        <v>690594270</v>
      </c>
      <c r="B192" s="10" t="inlineStr">
        <is>
          <t>GMB CORP</t>
        </is>
      </c>
      <c r="C192" s="11" t="n">
        <v>2</v>
      </c>
      <c r="D192" s="11" t="inlineStr">
        <is>
          <t>FY Mar2025</t>
        </is>
      </c>
      <c r="E192" s="12" t="n">
        <v>300000000</v>
      </c>
      <c r="F192" s="12" t="n">
        <v>14000000</v>
      </c>
      <c r="G192" s="12" t="n">
        <v>16000000</v>
      </c>
      <c r="H192" s="13">
        <f>IF(OR(E192="",F192=""),"",F192/E192)</f>
        <v/>
      </c>
      <c r="I192" s="13">
        <f>IF(OR(E192="",G192=""),"",G192/E192)</f>
        <v/>
      </c>
      <c r="J192" s="13">
        <f>IF(OR(H192="",I192=""),"",H192+I192)</f>
        <v/>
      </c>
      <c r="K192" s="14" t="inlineStr">
        <is>
          <t>Toyota, Mazda, Nissan, Subaru, Honda, Kia, Hyundai</t>
        </is>
      </c>
      <c r="L192" s="14" t="inlineStr">
        <is>
          <t>Universal joints, water pumps, tensioners</t>
        </is>
      </c>
      <c r="M192" s="11" t="inlineStr">
        <is>
          <t>FY Mar2025</t>
        </is>
      </c>
      <c r="N192" s="14" t="inlineStr">
        <is>
          <t>GMB Corp FY2024 Annual Report (JPY ~45B)</t>
        </is>
      </c>
    </row>
    <row r="193">
      <c r="A193" s="15" t="n">
        <v>690558051</v>
      </c>
      <c r="B193" s="16" t="inlineStr">
        <is>
          <t>SANDEN CORPORATION</t>
        </is>
      </c>
      <c r="C193" s="17" t="n">
        <v>2</v>
      </c>
      <c r="D193" s="17" t="inlineStr">
        <is>
          <t>Q2 2024</t>
        </is>
      </c>
      <c r="E193" s="18" t="n">
        <v>298695046</v>
      </c>
      <c r="F193" s="18" t="n"/>
      <c r="G193" s="18" t="n">
        <v>-10295729</v>
      </c>
      <c r="H193" s="19">
        <f>IF(OR(E193="",F193=""),"",F193/E193)</f>
        <v/>
      </c>
      <c r="I193" s="19">
        <f>IF(OR(E193="",G193=""),"",G193/E193)</f>
        <v/>
      </c>
      <c r="J193" s="19">
        <f>IF(OR(H193="",I193=""),"",H193+I193)</f>
        <v/>
      </c>
      <c r="K193" s="20" t="inlineStr">
        <is>
          <t>Toyota, Hyundai, Audi, BMW, Mercedes, Ford, General Motors</t>
        </is>
      </c>
      <c r="L193" s="20" t="inlineStr">
        <is>
          <t>Automotive HVAC compressors, EV heat pump modules</t>
        </is>
      </c>
      <c r="M193" s="17" t="inlineStr">
        <is>
          <t>Q2 2024</t>
        </is>
      </c>
      <c r="N193" s="20" t="inlineStr">
        <is>
          <t>Yahoo Finance (6444.T)</t>
        </is>
      </c>
    </row>
    <row r="194">
      <c r="A194" s="9" t="n">
        <v>687998617</v>
      </c>
      <c r="B194" s="10" t="inlineStr">
        <is>
          <t>HWASEUNG CORP CO LTD</t>
        </is>
      </c>
      <c r="C194" s="11" t="n">
        <v>2</v>
      </c>
      <c r="D194" s="11" t="inlineStr">
        <is>
          <t>Q3 2025</t>
        </is>
      </c>
      <c r="E194" s="12" t="n">
        <v>295298442</v>
      </c>
      <c r="F194" s="12" t="n">
        <v>17415508</v>
      </c>
      <c r="G194" s="12" t="n">
        <v>14570209</v>
      </c>
      <c r="H194" s="13">
        <f>IF(OR(E194="",F194=""),"",F194/E194)</f>
        <v/>
      </c>
      <c r="I194" s="13">
        <f>IF(OR(E194="",G194=""),"",G194/E194)</f>
        <v/>
      </c>
      <c r="J194" s="13">
        <f>IF(OR(H194="",I194=""),"",H194+I194)</f>
        <v/>
      </c>
      <c r="K194" s="14" t="inlineStr">
        <is>
          <t>Hyundai, Kia, General Motors, Ford, Stellantis, BMW</t>
        </is>
      </c>
      <c r="L194" s="14" t="inlineStr">
        <is>
          <t>Shift cable assemblies, transmission cables, HVAC cables</t>
        </is>
      </c>
      <c r="M194" s="11" t="inlineStr">
        <is>
          <t>Q3 2025</t>
        </is>
      </c>
      <c r="N194" s="14" t="inlineStr">
        <is>
          <t>Yahoo Finance (013520.KS)</t>
        </is>
      </c>
    </row>
    <row r="195">
      <c r="A195" s="15" t="n">
        <v>879168029</v>
      </c>
      <c r="B195" s="16" t="inlineStr">
        <is>
          <t>STRATTEC SECURITY CORPORATION</t>
        </is>
      </c>
      <c r="C195" s="17" t="n">
        <v>2</v>
      </c>
      <c r="D195" s="17" t="inlineStr">
        <is>
          <t>Q2 2026</t>
        </is>
      </c>
      <c r="E195" s="18" t="n">
        <v>268971000</v>
      </c>
      <c r="F195" s="18" t="n"/>
      <c r="G195" s="18" t="n">
        <v>7197000</v>
      </c>
      <c r="H195" s="19">
        <f>IF(OR(E195="",F195=""),"",F195/E195)</f>
        <v/>
      </c>
      <c r="I195" s="19">
        <f>IF(OR(E195="",G195=""),"",G195/E195)</f>
        <v/>
      </c>
      <c r="J195" s="19">
        <f>IF(OR(H195="",I195=""),"",H195+I195)</f>
        <v/>
      </c>
      <c r="K195" s="20" t="inlineStr">
        <is>
          <t>Stellantis, General Motors, Ford</t>
        </is>
      </c>
      <c r="L195" s="20" t="inlineStr">
        <is>
          <t>Locks, keys, vehicle access systems, door handles</t>
        </is>
      </c>
      <c r="M195" s="17" t="inlineStr">
        <is>
          <t>Q2 2026</t>
        </is>
      </c>
      <c r="N195" s="20" t="inlineStr">
        <is>
          <t>SEC 10-Q</t>
        </is>
      </c>
    </row>
    <row r="196">
      <c r="A196" s="9" t="n">
        <v>687819359</v>
      </c>
      <c r="B196" s="10" t="inlineStr">
        <is>
          <t>CTR CO LTD</t>
        </is>
      </c>
      <c r="C196" s="11" t="n">
        <v>2</v>
      </c>
      <c r="D196" s="11" t="inlineStr">
        <is>
          <t>Q3 2025</t>
        </is>
      </c>
      <c r="E196" s="12" t="n">
        <v>238641549</v>
      </c>
      <c r="F196" s="12" t="n">
        <v>90538954</v>
      </c>
      <c r="G196" s="12" t="n">
        <v>-4949334</v>
      </c>
      <c r="H196" s="13">
        <f>IF(OR(E196="",F196=""),"",F196/E196)</f>
        <v/>
      </c>
      <c r="I196" s="13">
        <f>IF(OR(E196="",G196=""),"",G196/E196)</f>
        <v/>
      </c>
      <c r="J196" s="13">
        <f>IF(OR(H196="",I196=""),"",H196+I196)</f>
        <v/>
      </c>
      <c r="K196" s="14" t="inlineStr">
        <is>
          <t>Hyundai, Kia, General Motors, Tesla, Ford</t>
        </is>
      </c>
      <c r="L196" s="14" t="inlineStr">
        <is>
          <t>Steering gear, rack &amp; pinion, EPS systems</t>
        </is>
      </c>
      <c r="M196" s="11" t="inlineStr">
        <is>
          <t>Q3 2025</t>
        </is>
      </c>
      <c r="N196" s="14" t="inlineStr">
        <is>
          <t>Yahoo Finance (036570.KS)</t>
        </is>
      </c>
    </row>
    <row r="197">
      <c r="A197" s="15" t="n">
        <v>695687668</v>
      </c>
      <c r="B197" s="16" t="inlineStr">
        <is>
          <t>ILJIN GLOBAL CO LTD</t>
        </is>
      </c>
      <c r="C197" s="17" t="n">
        <v>2</v>
      </c>
      <c r="D197" s="17" t="inlineStr">
        <is>
          <t>Q4 2025</t>
        </is>
      </c>
      <c r="E197" s="18" t="n">
        <v>229559745</v>
      </c>
      <c r="F197" s="18" t="n">
        <v>15774576</v>
      </c>
      <c r="G197" s="18" t="n">
        <v>5027207</v>
      </c>
      <c r="H197" s="19">
        <f>IF(OR(E197="",F197=""),"",F197/E197)</f>
        <v/>
      </c>
      <c r="I197" s="19">
        <f>IF(OR(E197="",G197=""),"",G197/E197)</f>
        <v/>
      </c>
      <c r="J197" s="19">
        <f>IF(OR(H197="",I197=""),"",H197+I197)</f>
        <v/>
      </c>
      <c r="K197" s="20" t="inlineStr">
        <is>
          <t>Hyundai, General Motors, Ford, Kia, Mercedes</t>
        </is>
      </c>
      <c r="L197" s="20" t="inlineStr">
        <is>
          <t>Wheel bearings, hub units, driveshafts</t>
        </is>
      </c>
      <c r="M197" s="17" t="inlineStr">
        <is>
          <t>Q4 2025</t>
        </is>
      </c>
      <c r="N197" s="20" t="inlineStr">
        <is>
          <t>Yahoo Finance (014830.KS)</t>
        </is>
      </c>
    </row>
    <row r="198">
      <c r="A198" s="9" t="n">
        <v>776631116</v>
      </c>
      <c r="B198" s="10" t="inlineStr">
        <is>
          <t>THULE GROUP AB</t>
        </is>
      </c>
      <c r="C198" s="11" t="n">
        <v>2</v>
      </c>
      <c r="D198" s="11" t="inlineStr">
        <is>
          <t>Q4 2025</t>
        </is>
      </c>
      <c r="E198" s="12" t="n">
        <v>195171235</v>
      </c>
      <c r="F198" s="12" t="n">
        <v>78919377</v>
      </c>
      <c r="G198" s="12" t="n">
        <v>8827909</v>
      </c>
      <c r="H198" s="13">
        <f>IF(OR(E198="",F198=""),"",F198/E198)</f>
        <v/>
      </c>
      <c r="I198" s="13">
        <f>IF(OR(E198="",G198=""),"",G198/E198)</f>
        <v/>
      </c>
      <c r="J198" s="13">
        <f>IF(OR(H198="",I198=""),"",H198+I198)</f>
        <v/>
      </c>
      <c r="K198" s="14" t="inlineStr">
        <is>
          <t>Volvo, Audi, BMW</t>
        </is>
      </c>
      <c r="L198" s="14" t="inlineStr">
        <is>
          <t>Roof racks, tow bars, bike carriers, cargo boxes</t>
        </is>
      </c>
      <c r="M198" s="11" t="inlineStr">
        <is>
          <t>Q4 2025</t>
        </is>
      </c>
      <c r="N198" s="14" t="inlineStr">
        <is>
          <t>Yahoo Finance (THULE.ST)</t>
        </is>
      </c>
    </row>
    <row r="199">
      <c r="A199" s="15" t="n">
        <v>690563036</v>
      </c>
      <c r="B199" s="16" t="inlineStr">
        <is>
          <t>UCHIYAMA MANUFACTURING CORP</t>
        </is>
      </c>
      <c r="C199" s="17" t="n">
        <v>2</v>
      </c>
      <c r="D199" s="17" t="inlineStr">
        <is>
          <t>FY Mar2025</t>
        </is>
      </c>
      <c r="E199" s="18" t="n">
        <v>190000000</v>
      </c>
      <c r="F199" s="18" t="n">
        <v>9000000</v>
      </c>
      <c r="G199" s="18" t="n">
        <v>10000000</v>
      </c>
      <c r="H199" s="19">
        <f>IF(OR(E199="",F199=""),"",F199/E199)</f>
        <v/>
      </c>
      <c r="I199" s="19">
        <f>IF(OR(E199="",G199=""),"",G199/E199)</f>
        <v/>
      </c>
      <c r="J199" s="19">
        <f>IF(OR(H199="",I199=""),"",H199+I199)</f>
        <v/>
      </c>
      <c r="K199" s="20" t="inlineStr">
        <is>
          <t>Toyota, Honda, Nissan, Mazda, Subaru, General Motors</t>
        </is>
      </c>
      <c r="L199" s="20" t="inlineStr">
        <is>
          <t>Oil seals, rubber gaskets, dust covers</t>
        </is>
      </c>
      <c r="M199" s="17" t="inlineStr">
        <is>
          <t>FY Mar2025</t>
        </is>
      </c>
      <c r="N199" s="20" t="inlineStr">
        <is>
          <t>Uchiyama Mfg FY2024 Annual Report</t>
        </is>
      </c>
    </row>
    <row r="200">
      <c r="A200" s="9" t="n">
        <v>691458483</v>
      </c>
      <c r="B200" s="10" t="inlineStr">
        <is>
          <t>MURO CORPORATION</t>
        </is>
      </c>
      <c r="C200" s="11" t="n">
        <v>2</v>
      </c>
      <c r="D200" s="11" t="inlineStr">
        <is>
          <t>FY Mar2025</t>
        </is>
      </c>
      <c r="E200" s="12" t="n">
        <v>180000000</v>
      </c>
      <c r="F200" s="12" t="n">
        <v>9000000</v>
      </c>
      <c r="G200" s="12" t="n">
        <v>8000000</v>
      </c>
      <c r="H200" s="13">
        <f>IF(OR(E200="",F200=""),"",F200/E200)</f>
        <v/>
      </c>
      <c r="I200" s="13">
        <f>IF(OR(E200="",G200=""),"",G200/E200)</f>
        <v/>
      </c>
      <c r="J200" s="13">
        <f>IF(OR(H200="",I200=""),"",H200+I200)</f>
        <v/>
      </c>
      <c r="K200" s="14" t="inlineStr">
        <is>
          <t>Toyota, Honda, Nissan, Mazda, Subaru</t>
        </is>
      </c>
      <c r="L200" s="14" t="inlineStr">
        <is>
          <t>Small metal parts, fasteners, brackets</t>
        </is>
      </c>
      <c r="M200" s="11" t="inlineStr">
        <is>
          <t>FY Mar2025</t>
        </is>
      </c>
      <c r="N200" s="14" t="inlineStr">
        <is>
          <t>Muro Corp FY2024 Annual Report (JPY ~27B)</t>
        </is>
      </c>
    </row>
    <row r="201">
      <c r="A201" s="15" t="n">
        <v>714213373</v>
      </c>
      <c r="B201" s="16" t="inlineStr">
        <is>
          <t>TSUBAKI NAKASHIMA CO LTD</t>
        </is>
      </c>
      <c r="C201" s="17" t="n">
        <v>2</v>
      </c>
      <c r="D201" s="17" t="inlineStr">
        <is>
          <t>Q2 2024</t>
        </is>
      </c>
      <c r="E201" s="18" t="n">
        <v>127298666</v>
      </c>
      <c r="F201" s="18" t="n">
        <v>12825006</v>
      </c>
      <c r="G201" s="18" t="n">
        <v>4149819</v>
      </c>
      <c r="H201" s="19">
        <f>IF(OR(E201="",F201=""),"",F201/E201)</f>
        <v/>
      </c>
      <c r="I201" s="19">
        <f>IF(OR(E201="",G201=""),"",G201/E201)</f>
        <v/>
      </c>
      <c r="J201" s="19">
        <f>IF(OR(H201="",I201=""),"",H201+I201)</f>
        <v/>
      </c>
      <c r="K201" s="20" t="inlineStr">
        <is>
          <t>Toyota, Volkswagen, Ford, Tesla, Honda</t>
        </is>
      </c>
      <c r="L201" s="20" t="inlineStr">
        <is>
          <t>Precision steel balls, ball studs, linear motion components</t>
        </is>
      </c>
      <c r="M201" s="17" t="inlineStr">
        <is>
          <t>Q2 2024</t>
        </is>
      </c>
      <c r="N201" s="20" t="inlineStr">
        <is>
          <t>Yahoo Finance (6464.T)</t>
        </is>
      </c>
    </row>
    <row r="202">
      <c r="A202" s="9" t="n">
        <v>690882766</v>
      </c>
      <c r="B202" s="10" t="inlineStr">
        <is>
          <t>PARKER CORP</t>
        </is>
      </c>
      <c r="C202" s="11" t="n">
        <v>2</v>
      </c>
      <c r="D202" s="11" t="inlineStr">
        <is>
          <t>FY2024</t>
        </is>
      </c>
      <c r="E202" s="12" t="n">
        <v>120000000</v>
      </c>
      <c r="F202" s="12" t="n">
        <v>8000000</v>
      </c>
      <c r="G202" s="12" t="n">
        <v>7000000</v>
      </c>
      <c r="H202" s="13">
        <f>IF(OR(E202="",F202=""),"",F202/E202)</f>
        <v/>
      </c>
      <c r="I202" s="13">
        <f>IF(OR(E202="",G202=""),"",G202/E202)</f>
        <v/>
      </c>
      <c r="J202" s="13">
        <f>IF(OR(H202="",I202=""),"",H202+I202)</f>
        <v/>
      </c>
      <c r="K202" s="14" t="inlineStr">
        <is>
          <t>General Motors, Ford, Stellantis</t>
        </is>
      </c>
      <c r="L202" s="14" t="inlineStr">
        <is>
          <t>Auto parts distribution and manufacturing</t>
        </is>
      </c>
      <c r="M202" s="11" t="inlineStr">
        <is>
          <t>FY2024</t>
        </is>
      </c>
      <c r="N202" s="14" t="inlineStr">
        <is>
          <t>Parker Corp FY2024 (small Japanese auto parts)</t>
        </is>
      </c>
    </row>
    <row r="203">
      <c r="A203" s="15" t="n">
        <v>689223774</v>
      </c>
      <c r="B203" s="16" t="inlineStr">
        <is>
          <t>WOORY INDUSTRIAL HOLDINGS CO LTD</t>
        </is>
      </c>
      <c r="C203" s="17" t="n">
        <v>2</v>
      </c>
      <c r="D203" s="17" t="inlineStr">
        <is>
          <t>Q3 2025</t>
        </is>
      </c>
      <c r="E203" s="18" t="n">
        <v>116012996</v>
      </c>
      <c r="F203" s="18" t="n">
        <v>4988210</v>
      </c>
      <c r="G203" s="18" t="n">
        <v>6765659</v>
      </c>
      <c r="H203" s="19">
        <f>IF(OR(E203="",F203=""),"",F203/E203)</f>
        <v/>
      </c>
      <c r="I203" s="19">
        <f>IF(OR(E203="",G203=""),"",G203/E203)</f>
        <v/>
      </c>
      <c r="J203" s="19">
        <f>IF(OR(H203="",I203=""),"",H203+I203)</f>
        <v/>
      </c>
      <c r="K203" s="20" t="inlineStr">
        <is>
          <t>Tesla, Kia, Hyundai</t>
        </is>
      </c>
      <c r="L203" s="20" t="inlineStr">
        <is>
          <t>EV battery cooling, HVAC systems, heat exchangers</t>
        </is>
      </c>
      <c r="M203" s="17" t="inlineStr">
        <is>
          <t>Q3 2025</t>
        </is>
      </c>
      <c r="N203" s="20" t="inlineStr">
        <is>
          <t>Yahoo Finance (072470.KS)</t>
        </is>
      </c>
    </row>
    <row r="204">
      <c r="A204" s="9" t="n">
        <v>201648052</v>
      </c>
      <c r="B204" s="10" t="inlineStr">
        <is>
          <t>EXCO TECHNOLOGIES LTD</t>
        </is>
      </c>
      <c r="C204" s="11" t="n">
        <v>2</v>
      </c>
      <c r="D204" s="11" t="inlineStr">
        <is>
          <t>Q4 2025</t>
        </is>
      </c>
      <c r="E204" s="12" t="n">
        <v>108933418</v>
      </c>
      <c r="F204" s="12" t="n">
        <v>10163923</v>
      </c>
      <c r="G204" s="12" t="n">
        <v>5885910</v>
      </c>
      <c r="H204" s="13">
        <f>IF(OR(E204="",F204=""),"",F204/E204)</f>
        <v/>
      </c>
      <c r="I204" s="13">
        <f>IF(OR(E204="",G204=""),"",G204/E204)</f>
        <v/>
      </c>
      <c r="J204" s="13">
        <f>IF(OR(H204="",I204=""),"",H204+I204)</f>
        <v/>
      </c>
      <c r="K204" s="14" t="inlineStr">
        <is>
          <t>Toyota, Honda, Nissan</t>
        </is>
      </c>
      <c r="L204" s="14" t="inlineStr">
        <is>
          <t>Extrusion tooling, die casting tooling, auto trim mouldings</t>
        </is>
      </c>
      <c r="M204" s="11" t="inlineStr">
        <is>
          <t>Q4 2025</t>
        </is>
      </c>
      <c r="N204" s="14" t="inlineStr">
        <is>
          <t>Yahoo Finance (XTC.TO)</t>
        </is>
      </c>
    </row>
    <row r="205">
      <c r="A205" s="15" t="n">
        <v>687782458</v>
      </c>
      <c r="B205" s="16" t="inlineStr">
        <is>
          <t>TAEYANG METAL INDUSTRIAL CO LTD</t>
        </is>
      </c>
      <c r="C205" s="17" t="n">
        <v>2</v>
      </c>
      <c r="D205" s="17" t="inlineStr">
        <is>
          <t>Q3 2025</t>
        </is>
      </c>
      <c r="E205" s="18" t="n">
        <v>101909101</v>
      </c>
      <c r="F205" s="18" t="n">
        <v>7602021</v>
      </c>
      <c r="G205" s="18" t="n">
        <v>1657880</v>
      </c>
      <c r="H205" s="19">
        <f>IF(OR(E205="",F205=""),"",F205/E205)</f>
        <v/>
      </c>
      <c r="I205" s="19">
        <f>IF(OR(E205="",G205=""),"",G205/E205)</f>
        <v/>
      </c>
      <c r="J205" s="19">
        <f>IF(OR(H205="",I205=""),"",H205+I205)</f>
        <v/>
      </c>
      <c r="K205" s="20" t="inlineStr">
        <is>
          <t>Hyundai, Kia, General Motors, Ford, Stellantis, Mazda</t>
        </is>
      </c>
      <c r="L205" s="20" t="inlineStr">
        <is>
          <t>Metal stampings, door hinges, hood hinges, structural parts</t>
        </is>
      </c>
      <c r="M205" s="17" t="inlineStr">
        <is>
          <t>Q3 2025</t>
        </is>
      </c>
      <c r="N205" s="20" t="inlineStr">
        <is>
          <t>Yahoo Finance (004100.KS)</t>
        </is>
      </c>
    </row>
    <row r="206">
      <c r="A206" s="9" t="n">
        <v>687802777</v>
      </c>
      <c r="B206" s="10" t="inlineStr">
        <is>
          <t>INFAC CORPORATION</t>
        </is>
      </c>
      <c r="C206" s="11" t="n">
        <v>2</v>
      </c>
      <c r="D206" s="11" t="inlineStr">
        <is>
          <t>Q3 2025</t>
        </is>
      </c>
      <c r="E206" s="12" t="n">
        <v>98471744</v>
      </c>
      <c r="F206" s="12" t="n">
        <v>5494941</v>
      </c>
      <c r="G206" s="12" t="n">
        <v>4266298</v>
      </c>
      <c r="H206" s="13">
        <f>IF(OR(E206="",F206=""),"",F206/E206)</f>
        <v/>
      </c>
      <c r="I206" s="13">
        <f>IF(OR(E206="",G206=""),"",G206/E206)</f>
        <v/>
      </c>
      <c r="J206" s="13">
        <f>IF(OR(H206="",I206=""),"",H206+I206)</f>
        <v/>
      </c>
      <c r="K206" s="14" t="inlineStr">
        <is>
          <t>Hyundai, Kia, General Motors, Mazda</t>
        </is>
      </c>
      <c r="L206" s="14" t="inlineStr">
        <is>
          <t>Metal stampings, door hinges, structural parts</t>
        </is>
      </c>
      <c r="M206" s="11" t="inlineStr">
        <is>
          <t>Q3 2025</t>
        </is>
      </c>
      <c r="N206" s="14" t="inlineStr">
        <is>
          <t>Yahoo Finance (023810.KS)</t>
        </is>
      </c>
    </row>
    <row r="207">
      <c r="A207" s="15" t="n">
        <v>247865264</v>
      </c>
      <c r="B207" s="16" t="inlineStr">
        <is>
          <t>AIRBOSS OF AMERICA CORP</t>
        </is>
      </c>
      <c r="C207" s="17" t="n">
        <v>2</v>
      </c>
      <c r="D207" s="17" t="inlineStr">
        <is>
          <t>Q3 2025</t>
        </is>
      </c>
      <c r="E207" s="18" t="n">
        <v>73160430</v>
      </c>
      <c r="F207" s="18" t="n">
        <v>9392395</v>
      </c>
      <c r="G207" s="18" t="n">
        <v>-182865</v>
      </c>
      <c r="H207" s="19">
        <f>IF(OR(E207="",F207=""),"",F207/E207)</f>
        <v/>
      </c>
      <c r="I207" s="19">
        <f>IF(OR(E207="",G207=""),"",G207/E207)</f>
        <v/>
      </c>
      <c r="J207" s="19">
        <f>IF(OR(H207="",I207=""),"",H207+I207)</f>
        <v/>
      </c>
      <c r="K207" s="20" t="inlineStr">
        <is>
          <t>General Motors, Ford, Stellantis, Honda</t>
        </is>
      </c>
      <c r="L207" s="20" t="inlineStr">
        <is>
          <t>Anti-vibration products, rubber NVH components, body mounts</t>
        </is>
      </c>
      <c r="M207" s="17" t="inlineStr">
        <is>
          <t>Q3 2025</t>
        </is>
      </c>
      <c r="N207" s="20" t="inlineStr">
        <is>
          <t>Yahoo Finance (BOS.TO)</t>
        </is>
      </c>
    </row>
    <row r="208">
      <c r="A208" s="9" t="n">
        <v>403394372</v>
      </c>
      <c r="B208" s="10" t="inlineStr">
        <is>
          <t>KENDRION NV</t>
        </is>
      </c>
      <c r="C208" s="11" t="n">
        <v>2</v>
      </c>
      <c r="D208" s="11" t="inlineStr">
        <is>
          <t>Q4 2025</t>
        </is>
      </c>
      <c r="E208" s="12" t="n">
        <v>70487103</v>
      </c>
      <c r="F208" s="12" t="n"/>
      <c r="G208" s="12" t="n">
        <v>5959885</v>
      </c>
      <c r="H208" s="13">
        <f>IF(OR(E208="",F208=""),"",F208/E208)</f>
        <v/>
      </c>
      <c r="I208" s="13">
        <f>IF(OR(E208="",G208=""),"",G208/E208)</f>
        <v/>
      </c>
      <c r="J208" s="13">
        <f>IF(OR(H208="",I208=""),"",H208+I208)</f>
        <v/>
      </c>
      <c r="K208" s="14" t="inlineStr">
        <is>
          <t>N/A</t>
        </is>
      </c>
      <c r="L208" s="14" t="inlineStr">
        <is>
          <t>Electromagnetic actuators, solenoids, electromagnetic clutches</t>
        </is>
      </c>
      <c r="M208" s="11" t="inlineStr">
        <is>
          <t>Q4 2025</t>
        </is>
      </c>
      <c r="N208" s="14" t="inlineStr">
        <is>
          <t>Yahoo Finance (KENDR.AS)</t>
        </is>
      </c>
    </row>
    <row r="209">
      <c r="A209" s="15" t="n">
        <v>252892955</v>
      </c>
      <c r="B209" s="16" t="inlineStr">
        <is>
          <t>WESTPORT FUEL SYSTEMS INC</t>
        </is>
      </c>
      <c r="C209" s="17" t="n">
        <v>2</v>
      </c>
      <c r="D209" s="17" t="inlineStr">
        <is>
          <t>Q3 2025</t>
        </is>
      </c>
      <c r="E209" s="18" t="n">
        <v>33414000</v>
      </c>
      <c r="F209" s="18" t="n"/>
      <c r="G209" s="18" t="n">
        <v>-25383000</v>
      </c>
      <c r="H209" s="19">
        <f>IF(OR(E209="",F209=""),"",F209/E209)</f>
        <v/>
      </c>
      <c r="I209" s="19">
        <f>IF(OR(E209="",G209=""),"",G209/E209)</f>
        <v/>
      </c>
      <c r="J209" s="19">
        <f>IF(OR(H209="",I209=""),"",H209+I209)</f>
        <v/>
      </c>
      <c r="K209" s="20" t="inlineStr">
        <is>
          <t>General Motors, Ford, Volkswagen, Honda, Hyundai</t>
        </is>
      </c>
      <c r="L209" s="20" t="inlineStr">
        <is>
          <t>CNG/LNG fuel systems, HPDI natural gas injectors, hydrogen fuel systems</t>
        </is>
      </c>
      <c r="M209" s="17" t="inlineStr">
        <is>
          <t>Q3 2025</t>
        </is>
      </c>
      <c r="N209" s="20" t="inlineStr">
        <is>
          <t>SEC 10-Q</t>
        </is>
      </c>
    </row>
    <row r="210">
      <c r="A210" s="9" t="n">
        <v>350685597</v>
      </c>
      <c r="B210" s="10" t="inlineStr">
        <is>
          <t>CTEK AB (PUBL)</t>
        </is>
      </c>
      <c r="C210" s="11" t="n">
        <v>2</v>
      </c>
      <c r="D210" s="11" t="inlineStr">
        <is>
          <t>Q4 2025</t>
        </is>
      </c>
      <c r="E210" s="12" t="n">
        <v>22217258</v>
      </c>
      <c r="F210" s="12" t="n"/>
      <c r="G210" s="12" t="n">
        <v>2616298</v>
      </c>
      <c r="H210" s="13">
        <f>IF(OR(E210="",F210=""),"",F210/E210)</f>
        <v/>
      </c>
      <c r="I210" s="13">
        <f>IF(OR(E210="",G210=""),"",G210/E210)</f>
        <v/>
      </c>
      <c r="J210" s="13">
        <f>IF(OR(H210="",I210=""),"",H210+I210)</f>
        <v/>
      </c>
      <c r="K210" s="14" t="inlineStr">
        <is>
          <t>BMW, Volkswagen</t>
        </is>
      </c>
      <c r="L210" s="14" t="inlineStr">
        <is>
          <t>Battery chargers, EV charging solutions</t>
        </is>
      </c>
      <c r="M210" s="11" t="inlineStr">
        <is>
          <t>Q4 2025</t>
        </is>
      </c>
      <c r="N210" s="14" t="inlineStr">
        <is>
          <t>Yahoo Finance (CTEK.ST)</t>
        </is>
      </c>
    </row>
    <row r="211">
      <c r="A211" s="15" t="n">
        <v>690773668</v>
      </c>
      <c r="B211" s="16" t="inlineStr">
        <is>
          <t>SANOH INDUSTRIAL CO LTD</t>
        </is>
      </c>
      <c r="C211" s="17" t="n">
        <v>2</v>
      </c>
      <c r="D211" s="17" t="inlineStr">
        <is>
          <t>Q3 2024</t>
        </is>
      </c>
      <c r="E211" s="18" t="n">
        <v>18826732</v>
      </c>
      <c r="F211" s="18" t="n"/>
      <c r="G211" s="18" t="n">
        <v>851172</v>
      </c>
      <c r="H211" s="19">
        <f>IF(OR(E211="",F211=""),"",F211/E211)</f>
        <v/>
      </c>
      <c r="I211" s="19">
        <f>IF(OR(E211="",G211=""),"",G211/E211)</f>
        <v/>
      </c>
      <c r="J211" s="19">
        <f>IF(OR(H211="",I211=""),"",H211+I211)</f>
        <v/>
      </c>
      <c r="K211" s="20" t="inlineStr">
        <is>
          <t>Toyota, Nissan, Honda, Mazda</t>
        </is>
      </c>
      <c r="L211" s="20" t="inlineStr">
        <is>
          <t>Steel tubes, fuel lines, brake lines, clutch pipes</t>
        </is>
      </c>
      <c r="M211" s="17" t="inlineStr">
        <is>
          <t>Q3 2024</t>
        </is>
      </c>
      <c r="N211" s="20" t="inlineStr">
        <is>
          <t>Yahoo Finance (7196.T)</t>
        </is>
      </c>
    </row>
    <row r="212">
      <c r="A212" s="9" t="n">
        <v>689283781</v>
      </c>
      <c r="B212" s="10" t="inlineStr">
        <is>
          <t>JINHAP CO LTD</t>
        </is>
      </c>
      <c r="C212" s="11" t="n">
        <v>2</v>
      </c>
      <c r="D212" s="11" t="inlineStr">
        <is>
          <t>Q3 2025</t>
        </is>
      </c>
      <c r="E212" s="12" t="n">
        <v>2747977</v>
      </c>
      <c r="F212" s="12" t="n">
        <v>398043</v>
      </c>
      <c r="G212" s="12" t="n">
        <v>-734191</v>
      </c>
      <c r="H212" s="13">
        <f>IF(OR(E212="",F212=""),"",F212/E212)</f>
        <v/>
      </c>
      <c r="I212" s="13">
        <f>IF(OR(E212="",G212=""),"",G212/E212)</f>
        <v/>
      </c>
      <c r="J212" s="13">
        <f>IF(OR(H212="",I212=""),"",H212+I212)</f>
        <v/>
      </c>
      <c r="K212" s="14" t="inlineStr">
        <is>
          <t>Hyundai, Kia</t>
        </is>
      </c>
      <c r="L212" s="14" t="inlineStr">
        <is>
          <t>Rubber/plastic auto parts, bushings, grommets</t>
        </is>
      </c>
      <c r="M212" s="11" t="inlineStr">
        <is>
          <t>Q3 2025</t>
        </is>
      </c>
      <c r="N212" s="14" t="inlineStr">
        <is>
          <t>Yahoo Finance (051980.KS)</t>
        </is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6" customWidth="1" min="3" max="3"/>
    <col width="12" customWidth="1" min="4" max="4"/>
    <col width="18" customWidth="1" min="5" max="5"/>
    <col width="18" customWidth="1" min="6" max="6"/>
    <col width="18" customWidth="1" min="7" max="7"/>
    <col width="10" customWidth="1" min="8" max="8"/>
    <col width="10" customWidth="1" min="9" max="9"/>
    <col width="12" customWidth="1" min="10" max="10"/>
    <col width="48" customWidth="1" min="11" max="11"/>
    <col width="60" customWidth="1" min="12" max="12"/>
    <col width="12" customWidth="1" min="13" max="13"/>
    <col width="45" customWidth="1" min="14" max="14"/>
  </cols>
  <sheetData>
    <row r="1" ht="22" customHeight="1">
      <c r="A1" s="1" t="inlineStr">
        <is>
          <t>Filtered Publics</t>
        </is>
      </c>
    </row>
    <row r="2" ht="32" customHeight="1">
      <c r="A2" s="2" t="inlineStr">
        <is>
          <t>DUNS Number</t>
        </is>
      </c>
      <c r="B2" s="2" t="inlineStr">
        <is>
          <t>Company Name</t>
        </is>
      </c>
      <c r="C2" s="2" t="inlineStr">
        <is>
          <t>Tier</t>
        </is>
      </c>
      <c r="D2" s="2" t="inlineStr">
        <is>
          <t>Period</t>
        </is>
      </c>
      <c r="E2" s="2" t="inlineStr">
        <is>
          <t>Revenue (USD)</t>
        </is>
      </c>
      <c r="F2" s="2" t="inlineStr">
        <is>
          <t>SG&amp;A (USD)</t>
        </is>
      </c>
      <c r="G2" s="2" t="inlineStr">
        <is>
          <t>EBIT (USD)</t>
        </is>
      </c>
      <c r="H2" s="2" t="inlineStr">
        <is>
          <t>SG&amp;A %</t>
        </is>
      </c>
      <c r="I2" s="2" t="inlineStr">
        <is>
          <t>EBIT %</t>
        </is>
      </c>
      <c r="J2" s="2" t="inlineStr">
        <is>
          <t>SG&amp;A+EBIT %</t>
        </is>
      </c>
      <c r="K2" s="2" t="inlineStr">
        <is>
          <t>OEM Customers</t>
        </is>
      </c>
      <c r="L2" s="2" t="inlineStr">
        <is>
          <t>Automotive Parts / Products</t>
        </is>
      </c>
      <c r="M2" s="2" t="inlineStr">
        <is>
          <t>Fiscal Year</t>
        </is>
      </c>
      <c r="N2" s="2" t="inlineStr">
        <is>
          <t>Source</t>
        </is>
      </c>
    </row>
    <row r="3">
      <c r="A3" s="3" t="n">
        <v>400020397</v>
      </c>
      <c r="B3" s="4" t="inlineStr">
        <is>
          <t>ARCELORMITTAL</t>
        </is>
      </c>
      <c r="C3" s="5" t="n">
        <v>1</v>
      </c>
      <c r="D3" s="5" t="inlineStr">
        <is>
          <t>FY2024</t>
        </is>
      </c>
      <c r="E3" s="6" t="n">
        <v>62400000000</v>
      </c>
      <c r="F3" s="6" t="n">
        <v>1100000000</v>
      </c>
      <c r="G3" s="6" t="n">
        <v>2700000000</v>
      </c>
      <c r="H3" s="7">
        <f>IF(OR(E3="",F3=""),"",F3/E3)</f>
        <v/>
      </c>
      <c r="I3" s="7">
        <f>IF(OR(E3="",G3=""),"",G3/E3)</f>
        <v/>
      </c>
      <c r="J3" s="7">
        <f>IF(OR(H3="",I3=""),"",H3+I3)</f>
        <v/>
      </c>
      <c r="K3" s="8" t="inlineStr">
        <is>
          <t>General Motors, Ford, Stellantis</t>
        </is>
      </c>
      <c r="L3" s="8" t="inlineStr">
        <is>
          <t>Ultra-high-strength steel, dual-phase steel, galvanized steel, steel tube</t>
        </is>
      </c>
      <c r="M3" s="5" t="inlineStr">
        <is>
          <t>FY2024</t>
        </is>
      </c>
      <c r="N3" s="8" t="inlineStr">
        <is>
          <t>ArcelorMittal 2024 Annual Results</t>
        </is>
      </c>
    </row>
    <row r="4">
      <c r="A4" s="9" t="n">
        <v>690570072</v>
      </c>
      <c r="B4" s="10" t="inlineStr">
        <is>
          <t>NIPPON STEEL CORPORATION</t>
        </is>
      </c>
      <c r="C4" s="11" t="n">
        <v>1</v>
      </c>
      <c r="D4" s="11" t="inlineStr">
        <is>
          <t>FY Mar2025</t>
        </is>
      </c>
      <c r="E4" s="12" t="n">
        <v>58000000000</v>
      </c>
      <c r="F4" s="12" t="n">
        <v>1740000000</v>
      </c>
      <c r="G4" s="12" t="n">
        <v>3020000000</v>
      </c>
      <c r="H4" s="13">
        <f>IF(OR(E4="",F4=""),"",F4/E4)</f>
        <v/>
      </c>
      <c r="I4" s="13">
        <f>IF(OR(E4="",G4=""),"",G4/E4)</f>
        <v/>
      </c>
      <c r="J4" s="13">
        <f>IF(OR(H4="",I4=""),"",H4+I4)</f>
        <v/>
      </c>
      <c r="K4" s="14" t="inlineStr">
        <is>
          <t>Toyota, Honda, Nissan, General Motors</t>
        </is>
      </c>
      <c r="L4" s="14" t="inlineStr">
        <is>
          <t>High-strength steel sheet, galvanized steel, electrical steel, steel tubes</t>
        </is>
      </c>
      <c r="M4" s="11" t="inlineStr">
        <is>
          <t>FY Mar2025</t>
        </is>
      </c>
      <c r="N4" s="14" t="inlineStr">
        <is>
          <t>Nippon Steel FY2024 Annual Report (JPY ~8.8T)</t>
        </is>
      </c>
    </row>
    <row r="5">
      <c r="A5" s="3" t="n">
        <v>275133692</v>
      </c>
      <c r="B5" s="4" t="inlineStr">
        <is>
          <t>COMPAGNIE DE SAINT-GOBAIN</t>
        </is>
      </c>
      <c r="C5" s="5" t="n">
        <v>1</v>
      </c>
      <c r="D5" s="5" t="inlineStr">
        <is>
          <t>FY2024</t>
        </is>
      </c>
      <c r="E5" s="6" t="n">
        <v>51870000000</v>
      </c>
      <c r="F5" s="6" t="n">
        <v>3200000000</v>
      </c>
      <c r="G5" s="6" t="n">
        <v>4250000000</v>
      </c>
      <c r="H5" s="7">
        <f>IF(OR(E5="",F5=""),"",F5/E5)</f>
        <v/>
      </c>
      <c r="I5" s="7">
        <f>IF(OR(E5="",G5=""),"",G5/E5)</f>
        <v/>
      </c>
      <c r="J5" s="7">
        <f>IF(OR(H5="",I5=""),"",H5+I5)</f>
        <v/>
      </c>
      <c r="K5" s="8" t="inlineStr">
        <is>
          <t>Volkswagen, BMW, Mercedes, Ford, Toyota, General Motors</t>
        </is>
      </c>
      <c r="L5" s="8" t="inlineStr">
        <is>
          <t>Automotive glass (Saint-Gobain Sekurit), sealing, abrasives</t>
        </is>
      </c>
      <c r="M5" s="5" t="inlineStr">
        <is>
          <t>FY2024</t>
        </is>
      </c>
      <c r="N5" s="8" t="inlineStr">
        <is>
          <t>Saint-Gobain 2024 Annual Report (EUR ~€48B)</t>
        </is>
      </c>
    </row>
    <row r="6">
      <c r="A6" s="9" t="n">
        <v>690597851</v>
      </c>
      <c r="B6" s="10" t="inlineStr">
        <is>
          <t>DENSO CORPORATION</t>
        </is>
      </c>
      <c r="C6" s="11" t="n">
        <v>1</v>
      </c>
      <c r="D6" s="11" t="inlineStr">
        <is>
          <t>FY Mar2025</t>
        </is>
      </c>
      <c r="E6" s="12" t="n">
        <v>48300000000</v>
      </c>
      <c r="F6" s="12" t="n">
        <v>3150000000</v>
      </c>
      <c r="G6" s="12" t="n">
        <v>2890000000</v>
      </c>
      <c r="H6" s="13">
        <f>IF(OR(E6="",F6=""),"",F6/E6)</f>
        <v/>
      </c>
      <c r="I6" s="13">
        <f>IF(OR(E6="",G6=""),"",G6/E6)</f>
        <v/>
      </c>
      <c r="J6" s="13">
        <f>IF(OR(H6="",I6=""),"",H6+I6)</f>
        <v/>
      </c>
      <c r="K6" s="14" t="inlineStr">
        <is>
          <t>Toyota, Honda, Nissan, Subaru, Mazda, General Motors</t>
        </is>
      </c>
      <c r="L6" s="14" t="inlineStr">
        <is>
          <t>HVAC systems, fuel injection systems, starters, alternators, EV motors, thermal management, sensors</t>
        </is>
      </c>
      <c r="M6" s="11" t="inlineStr">
        <is>
          <t>FY Mar2025</t>
        </is>
      </c>
      <c r="N6" s="14" t="inlineStr">
        <is>
          <t>Denso FY2024 Annual Report (JPY 7.2T)</t>
        </is>
      </c>
    </row>
    <row r="7">
      <c r="A7" s="3" t="n">
        <v>201516002</v>
      </c>
      <c r="B7" s="4" t="inlineStr">
        <is>
          <t>MAGNA INTERNATIONAL INC</t>
        </is>
      </c>
      <c r="C7" s="5" t="n">
        <v>1</v>
      </c>
      <c r="D7" s="5" t="inlineStr">
        <is>
          <t>FY2024</t>
        </is>
      </c>
      <c r="E7" s="6" t="n">
        <v>42800000000</v>
      </c>
      <c r="F7" s="6" t="n">
        <v>1490000000</v>
      </c>
      <c r="G7" s="6" t="n">
        <v>1450000000</v>
      </c>
      <c r="H7" s="7">
        <f>IF(OR(E7="",F7=""),"",F7/E7)</f>
        <v/>
      </c>
      <c r="I7" s="7">
        <f>IF(OR(E7="",G7=""),"",G7/E7)</f>
        <v/>
      </c>
      <c r="J7" s="7">
        <f>IF(OR(H7="",I7=""),"",H7+I7)</f>
        <v/>
      </c>
      <c r="K7" s="8" t="inlineStr">
        <is>
          <t>General Motors, Ford, Stellantis, Tesla, Honda, Toyota</t>
        </is>
      </c>
      <c r="L7" s="8" t="inlineStr">
        <is>
          <t>Body/chassis stampings, seating systems, exterior mirrors, powertrain components, vision systems, roof systems, closures</t>
        </is>
      </c>
      <c r="M7" s="5" t="inlineStr">
        <is>
          <t>FY2024</t>
        </is>
      </c>
      <c r="N7" s="8" t="inlineStr">
        <is>
          <t>Magna 2024 Annual Report</t>
        </is>
      </c>
    </row>
    <row r="8">
      <c r="A8" s="9" t="n">
        <v>690535588</v>
      </c>
      <c r="B8" s="10" t="inlineStr">
        <is>
          <t>AISIN CORP</t>
        </is>
      </c>
      <c r="C8" s="11" t="n">
        <v>1</v>
      </c>
      <c r="D8" s="11" t="inlineStr">
        <is>
          <t>FY Mar2025</t>
        </is>
      </c>
      <c r="E8" s="12" t="n">
        <v>30954000000</v>
      </c>
      <c r="F8" s="12" t="n">
        <v>2546000000</v>
      </c>
      <c r="G8" s="12" t="n">
        <v>1173000000</v>
      </c>
      <c r="H8" s="13">
        <f>IF(OR(E8="",F8=""),"",F8/E8)</f>
        <v/>
      </c>
      <c r="I8" s="13">
        <f>IF(OR(E8="",G8=""),"",G8/E8)</f>
        <v/>
      </c>
      <c r="J8" s="13">
        <f>IF(OR(H8="",I8=""),"",H8+I8)</f>
        <v/>
      </c>
      <c r="K8" s="14" t="inlineStr">
        <is>
          <t>Toyota, Volkswagen, BMW, Stellantis</t>
        </is>
      </c>
      <c r="L8" s="14" t="inlineStr">
        <is>
          <t>Automatic transmissions, door hardware, water pumps, brakes, EV drive units</t>
        </is>
      </c>
      <c r="M8" s="11" t="inlineStr">
        <is>
          <t>FY Mar2025</t>
        </is>
      </c>
      <c r="N8" s="14" t="inlineStr">
        <is>
          <t>Aisin FY2025 Earnings Release (JPY ~4.62T)</t>
        </is>
      </c>
    </row>
    <row r="9">
      <c r="A9" s="3" t="n">
        <v>3446796</v>
      </c>
      <c r="B9" s="4" t="inlineStr">
        <is>
          <t>NUCOR CORP</t>
        </is>
      </c>
      <c r="C9" s="5" t="n">
        <v>1</v>
      </c>
      <c r="D9" s="5" t="inlineStr">
        <is>
          <t>FY2024</t>
        </is>
      </c>
      <c r="E9" s="6" t="n">
        <v>30360000000</v>
      </c>
      <c r="F9" s="6" t="n">
        <v>420000000</v>
      </c>
      <c r="G9" s="6" t="n">
        <v>2630000000</v>
      </c>
      <c r="H9" s="7">
        <f>IF(OR(E9="",F9=""),"",F9/E9)</f>
        <v/>
      </c>
      <c r="I9" s="7">
        <f>IF(OR(E9="",G9=""),"",G9/E9)</f>
        <v/>
      </c>
      <c r="J9" s="7">
        <f>IF(OR(H9="",I9=""),"",H9+I9)</f>
        <v/>
      </c>
      <c r="K9" s="8" t="inlineStr">
        <is>
          <t>General Motors, Mercedes</t>
        </is>
      </c>
      <c r="L9" s="8" t="inlineStr">
        <is>
          <t>Flat-rolled steel sheet, steel bars, structural steel for automotive</t>
        </is>
      </c>
      <c r="M9" s="5" t="inlineStr">
        <is>
          <t>FY2024</t>
        </is>
      </c>
      <c r="N9" s="8" t="inlineStr">
        <is>
          <t>Nucor 2024 10-K</t>
        </is>
      </c>
    </row>
    <row r="10">
      <c r="A10" s="9" t="n">
        <v>690556345</v>
      </c>
      <c r="B10" s="10" t="inlineStr">
        <is>
          <t>SUMITOMO ELECTRIC INDUSTRIES LTD</t>
        </is>
      </c>
      <c r="C10" s="11" t="n">
        <v>1</v>
      </c>
      <c r="D10" s="11" t="inlineStr">
        <is>
          <t>FY Mar2025</t>
        </is>
      </c>
      <c r="E10" s="12" t="n">
        <v>30100000000</v>
      </c>
      <c r="F10" s="12" t="n">
        <v>1750000000</v>
      </c>
      <c r="G10" s="12" t="n">
        <v>1200000000</v>
      </c>
      <c r="H10" s="13">
        <f>IF(OR(E10="",F10=""),"",F10/E10)</f>
        <v/>
      </c>
      <c r="I10" s="13">
        <f>IF(OR(E10="",G10=""),"",G10/E10)</f>
        <v/>
      </c>
      <c r="J10" s="13">
        <f>IF(OR(H10="",I10=""),"",H10+I10)</f>
        <v/>
      </c>
      <c r="K10" s="14" t="inlineStr">
        <is>
          <t>Toyota, Honda, Volkswagen</t>
        </is>
      </c>
      <c r="L10" s="14" t="inlineStr">
        <is>
          <t>Wiring harnesses, optical fiber cables, power cables, brake hoses</t>
        </is>
      </c>
      <c r="M10" s="11" t="inlineStr">
        <is>
          <t>FY Mar2025</t>
        </is>
      </c>
      <c r="N10" s="14" t="inlineStr">
        <is>
          <t>Sumitomo Electric FY2024 (JPY ~4.5T)</t>
        </is>
      </c>
    </row>
    <row r="11">
      <c r="A11" s="3" t="n">
        <v>281938431</v>
      </c>
      <c r="B11" s="4" t="inlineStr">
        <is>
          <t>COMPAGNIE GENERALE DES ETABLISSEMEN</t>
        </is>
      </c>
      <c r="C11" s="5" t="n">
        <v>1</v>
      </c>
      <c r="D11" s="5" t="inlineStr">
        <is>
          <t>FY2024</t>
        </is>
      </c>
      <c r="E11" s="6" t="n">
        <v>29700000000</v>
      </c>
      <c r="F11" s="6" t="n">
        <v>2100000000</v>
      </c>
      <c r="G11" s="6" t="n">
        <v>2650000000</v>
      </c>
      <c r="H11" s="7">
        <f>IF(OR(E11="",F11=""),"",F11/E11)</f>
        <v/>
      </c>
      <c r="I11" s="7">
        <f>IF(OR(E11="",G11=""),"",G11/E11)</f>
        <v/>
      </c>
      <c r="J11" s="7">
        <f>IF(OR(H11="",I11=""),"",H11+I11)</f>
        <v/>
      </c>
      <c r="K11" s="8" t="inlineStr">
        <is>
          <t>Volkswagen, Mercedes, BMW, Tesla, Stellantis, Renault</t>
        </is>
      </c>
      <c r="L11" s="8" t="inlineStr">
        <is>
          <t>Passenger tires, truck tires, OTR tires, specialty tires, tire accessories</t>
        </is>
      </c>
      <c r="M11" s="5" t="inlineStr">
        <is>
          <t>FY2024</t>
        </is>
      </c>
      <c r="N11" s="8" t="inlineStr">
        <is>
          <t>Michelin 2024 Annual Results (EUR ~€27.5B)</t>
        </is>
      </c>
    </row>
    <row r="12">
      <c r="A12" s="9" t="n">
        <v>275124311</v>
      </c>
      <c r="B12" s="10" t="inlineStr">
        <is>
          <t>FAURECIA</t>
        </is>
      </c>
      <c r="C12" s="11" t="n">
        <v>1</v>
      </c>
      <c r="D12" s="11" t="inlineStr">
        <is>
          <t>FY2024</t>
        </is>
      </c>
      <c r="E12" s="12" t="n">
        <v>26600000000</v>
      </c>
      <c r="F12" s="12" t="n">
        <v>1410000000</v>
      </c>
      <c r="G12" s="12" t="n">
        <v>1020000000</v>
      </c>
      <c r="H12" s="13">
        <f>IF(OR(E12="",F12=""),"",F12/E12)</f>
        <v/>
      </c>
      <c r="I12" s="13">
        <f>IF(OR(E12="",G12=""),"",G12/E12)</f>
        <v/>
      </c>
      <c r="J12" s="13">
        <f>IF(OR(H12="",I12=""),"",H12+I12)</f>
        <v/>
      </c>
      <c r="K12" s="14" t="inlineStr">
        <is>
          <t>Volkswagen, BMW, Ford, General Motors, Stellantis, Renault</t>
        </is>
      </c>
      <c r="L12" s="14" t="inlineStr">
        <is>
          <t>Seating frames &amp; mechanisms, acoustic packages, exhaust systems, hydrogen storage tanks, cockpit modules</t>
        </is>
      </c>
      <c r="M12" s="11" t="inlineStr">
        <is>
          <t>FY2024</t>
        </is>
      </c>
      <c r="N12" s="14" t="inlineStr">
        <is>
          <t>FORVIA 2024 Full Year Results (EUR ~€24.6B)</t>
        </is>
      </c>
    </row>
    <row r="13">
      <c r="A13" s="3" t="n">
        <v>6415160</v>
      </c>
      <c r="B13" s="4" t="inlineStr">
        <is>
          <t>CUMMINS INC</t>
        </is>
      </c>
      <c r="C13" s="5" t="n">
        <v>1</v>
      </c>
      <c r="D13" s="5" t="inlineStr">
        <is>
          <t>Q3 2025</t>
        </is>
      </c>
      <c r="E13" s="6" t="n">
        <v>25655000000</v>
      </c>
      <c r="F13" s="6" t="n">
        <v>2474000000</v>
      </c>
      <c r="G13" s="6" t="n">
        <v>3018000000</v>
      </c>
      <c r="H13" s="7">
        <f>IF(OR(E13="",F13=""),"",F13/E13)</f>
        <v/>
      </c>
      <c r="I13" s="7">
        <f>IF(OR(E13="",G13=""),"",G13/E13)</f>
        <v/>
      </c>
      <c r="J13" s="7">
        <f>IF(OR(H13="",I13=""),"",H13+I13)</f>
        <v/>
      </c>
      <c r="K13" s="8" t="inlineStr">
        <is>
          <t>Stellantis</t>
        </is>
      </c>
      <c r="L13" s="8" t="inlineStr">
        <is>
          <t>Diesel/natural gas/hydrogen engines, emission after-treatment systems</t>
        </is>
      </c>
      <c r="M13" s="5" t="inlineStr">
        <is>
          <t>Q3 2025</t>
        </is>
      </c>
      <c r="N13" s="8" t="inlineStr">
        <is>
          <t>SEC 10-Q</t>
        </is>
      </c>
    </row>
    <row r="14">
      <c r="A14" s="9" t="n">
        <v>656000718</v>
      </c>
      <c r="B14" s="10" t="inlineStr">
        <is>
          <t>CHENG SHIN RUBBER INDUSTRIAL CO LTD</t>
        </is>
      </c>
      <c r="C14" s="11" t="n">
        <v>1</v>
      </c>
      <c r="D14" s="11" t="inlineStr">
        <is>
          <t>Q3 2025</t>
        </is>
      </c>
      <c r="E14" s="12" t="n">
        <v>23674526000</v>
      </c>
      <c r="F14" s="12" t="n">
        <v>2565285000</v>
      </c>
      <c r="G14" s="12" t="n">
        <v>2063211000</v>
      </c>
      <c r="H14" s="13">
        <f>IF(OR(E14="",F14=""),"",F14/E14)</f>
        <v/>
      </c>
      <c r="I14" s="13">
        <f>IF(OR(E14="",G14=""),"",G14/E14)</f>
        <v/>
      </c>
      <c r="J14" s="13">
        <f>IF(OR(H14="",I14=""),"",H14+I14)</f>
        <v/>
      </c>
      <c r="K14" s="14" t="inlineStr">
        <is>
          <t>General Motors, Ford, Toyota, Nissan</t>
        </is>
      </c>
      <c r="L14" s="14" t="inlineStr">
        <is>
          <t>Passenger tires, truck tires, off-road tires, bicycle tires</t>
        </is>
      </c>
      <c r="M14" s="11" t="inlineStr">
        <is>
          <t>Q3 2025</t>
        </is>
      </c>
      <c r="N14" s="14" t="inlineStr">
        <is>
          <t>Yahoo Finance (2105.TW)</t>
        </is>
      </c>
    </row>
    <row r="15">
      <c r="A15" s="3" t="n">
        <v>691239750</v>
      </c>
      <c r="B15" s="4" t="inlineStr">
        <is>
          <t>TOYOTA INDUSTRIES CORP</t>
        </is>
      </c>
      <c r="C15" s="5" t="n">
        <v>1</v>
      </c>
      <c r="D15" s="5" t="inlineStr">
        <is>
          <t>FY Mar2025</t>
        </is>
      </c>
      <c r="E15" s="6" t="n">
        <v>22800000000</v>
      </c>
      <c r="F15" s="6" t="n">
        <v>1300000000</v>
      </c>
      <c r="G15" s="6" t="n">
        <v>1850000000</v>
      </c>
      <c r="H15" s="7">
        <f>IF(OR(E15="",F15=""),"",F15/E15)</f>
        <v/>
      </c>
      <c r="I15" s="7">
        <f>IF(OR(E15="",G15=""),"",G15/E15)</f>
        <v/>
      </c>
      <c r="J15" s="7">
        <f>IF(OR(H15="",I15=""),"",H15+I15)</f>
        <v/>
      </c>
      <c r="K15" s="8" t="inlineStr">
        <is>
          <t>Toyota, Tesla, General Motors, Ford, Mercedes</t>
        </is>
      </c>
      <c r="L15" s="8" t="inlineStr">
        <is>
          <t>Compressors, inverters, EV motors, textile machinery (separate segment)</t>
        </is>
      </c>
      <c r="M15" s="5" t="inlineStr">
        <is>
          <t>FY Mar2025</t>
        </is>
      </c>
      <c r="N15" s="8" t="inlineStr">
        <is>
          <t>Toyota Industries FY2024 Annual Report (JPY ~3.4T)</t>
        </is>
      </c>
    </row>
    <row r="16">
      <c r="A16" s="9" t="n">
        <v>275242212</v>
      </c>
      <c r="B16" s="10" t="inlineStr">
        <is>
          <t>VALEO</t>
        </is>
      </c>
      <c r="C16" s="11" t="n">
        <v>1</v>
      </c>
      <c r="D16" s="11" t="inlineStr">
        <is>
          <t>FY2024</t>
        </is>
      </c>
      <c r="E16" s="12" t="n">
        <v>21700000000</v>
      </c>
      <c r="F16" s="12" t="n">
        <v>1360000000</v>
      </c>
      <c r="G16" s="12" t="n">
        <v>650000000</v>
      </c>
      <c r="H16" s="13">
        <f>IF(OR(E16="",F16=""),"",F16/E16)</f>
        <v/>
      </c>
      <c r="I16" s="13">
        <f>IF(OR(E16="",G16=""),"",G16/E16)</f>
        <v/>
      </c>
      <c r="J16" s="13">
        <f>IF(OR(H16="",I16=""),"",H16+I16)</f>
        <v/>
      </c>
      <c r="K16" s="14" t="inlineStr">
        <is>
          <t>Volkswagen, BMW, Mercedes, Renault, Volvo, General Motors</t>
        </is>
      </c>
      <c r="L16" s="14" t="inlineStr">
        <is>
          <t>Lighting systems, wiper systems, thermal systems, ADAS sensors, EV charging equipment, clutch modules</t>
        </is>
      </c>
      <c r="M16" s="11" t="inlineStr">
        <is>
          <t>FY2024</t>
        </is>
      </c>
      <c r="N16" s="14" t="inlineStr">
        <is>
          <t>Valeo 2024 Full Year Results (EUR ~€20.1B)</t>
        </is>
      </c>
    </row>
    <row r="17">
      <c r="A17" s="3" t="n">
        <v>985419987</v>
      </c>
      <c r="B17" s="4" t="inlineStr">
        <is>
          <t>EATON CORPORATION PUBLIC LTD CO</t>
        </is>
      </c>
      <c r="C17" s="5" t="n">
        <v>1</v>
      </c>
      <c r="D17" s="5" t="inlineStr">
        <is>
          <t>Q3 2025</t>
        </is>
      </c>
      <c r="E17" s="6" t="n">
        <v>18638000000</v>
      </c>
      <c r="F17" s="6" t="n">
        <v>3074000000</v>
      </c>
      <c r="G17" s="6" t="n"/>
      <c r="H17" s="7">
        <f>IF(OR(E17="",F17=""),"",F17/E17)</f>
        <v/>
      </c>
      <c r="I17" s="7">
        <f>IF(OR(E17="",G17=""),"",G17/E17)</f>
        <v/>
      </c>
      <c r="J17" s="7">
        <f>IF(OR(H17="",I17=""),"",H17+I17)</f>
        <v/>
      </c>
      <c r="K17" s="8" t="inlineStr">
        <is>
          <t>General Motors</t>
        </is>
      </c>
      <c r="L17" s="8" t="inlineStr">
        <is>
          <t>Transmission systems, vehicle power distribution, EV charging &amp; control</t>
        </is>
      </c>
      <c r="M17" s="5" t="inlineStr">
        <is>
          <t>Q3 2025</t>
        </is>
      </c>
      <c r="N17" s="8" t="inlineStr">
        <is>
          <t>SEC 10-Q</t>
        </is>
      </c>
    </row>
    <row r="18">
      <c r="A18" s="9" t="n">
        <v>690541503</v>
      </c>
      <c r="B18" s="10" t="inlineStr">
        <is>
          <t>HITACHI LTD</t>
        </is>
      </c>
      <c r="C18" s="11" t="n">
        <v>1</v>
      </c>
      <c r="D18" s="11" t="inlineStr">
        <is>
          <t>FY Mar2025</t>
        </is>
      </c>
      <c r="E18" s="12" t="n">
        <v>17800000000</v>
      </c>
      <c r="F18" s="12" t="n">
        <v>1100000000</v>
      </c>
      <c r="G18" s="12" t="n">
        <v>1950000000</v>
      </c>
      <c r="H18" s="13">
        <f>IF(OR(E18="",F18=""),"",F18/E18)</f>
        <v/>
      </c>
      <c r="I18" s="13">
        <f>IF(OR(E18="",G18=""),"",G18/E18)</f>
        <v/>
      </c>
      <c r="J18" s="13">
        <f>IF(OR(H18="",I18=""),"",H18+I18)</f>
        <v/>
      </c>
      <c r="K18" s="14" t="inlineStr">
        <is>
          <t>General Motors, Nissan, Ford, Volkswagen, Toyota</t>
        </is>
      </c>
      <c r="L18" s="14" t="inlineStr">
        <is>
          <t>EV inverters, motors, e-axles, ADAS radar, steering systems (Astemo JV)</t>
        </is>
      </c>
      <c r="M18" s="11" t="inlineStr">
        <is>
          <t>FY Mar2025</t>
        </is>
      </c>
      <c r="N18" s="14" t="inlineStr">
        <is>
          <t>Hitachi FY2024 Annual Report (JPY ~2.7T Astemo)</t>
        </is>
      </c>
    </row>
    <row r="19">
      <c r="A19" s="3" t="n">
        <v>175592476</v>
      </c>
      <c r="B19" s="4" t="inlineStr">
        <is>
          <t>LEAR CORP</t>
        </is>
      </c>
      <c r="C19" s="5" t="n">
        <v>1</v>
      </c>
      <c r="D19" s="5" t="inlineStr">
        <is>
          <t>Q3 2025</t>
        </is>
      </c>
      <c r="E19" s="6" t="n">
        <v>17591400000</v>
      </c>
      <c r="F19" s="6" t="n">
        <v>535900000</v>
      </c>
      <c r="G19" s="6" t="n">
        <v>677800000</v>
      </c>
      <c r="H19" s="7">
        <f>IF(OR(E19="",F19=""),"",F19/E19)</f>
        <v/>
      </c>
      <c r="I19" s="7">
        <f>IF(OR(E19="",G19=""),"",G19/E19)</f>
        <v/>
      </c>
      <c r="J19" s="7">
        <f>IF(OR(H19="",I19=""),"",H19+I19)</f>
        <v/>
      </c>
      <c r="K19" s="8" t="inlineStr">
        <is>
          <t>General Motors, Ford, BMW, Volkswagen</t>
        </is>
      </c>
      <c r="L19" s="8" t="inlineStr">
        <is>
          <t>Seat systems, seat mechanisms, seat foam &amp; trim, e-systems junction boxes, wiring harnesses</t>
        </is>
      </c>
      <c r="M19" s="5" t="inlineStr">
        <is>
          <t>Q3 2025</t>
        </is>
      </c>
      <c r="N19" s="8" t="inlineStr">
        <is>
          <t>SEC 10-Q</t>
        </is>
      </c>
    </row>
    <row r="20">
      <c r="A20" s="9" t="n">
        <v>5146428</v>
      </c>
      <c r="B20" s="10" t="inlineStr">
        <is>
          <t>ILLINOIS TOOL WORKS INC</t>
        </is>
      </c>
      <c r="C20" s="11" t="n">
        <v>1</v>
      </c>
      <c r="D20" s="11" t="inlineStr">
        <is>
          <t>FY2024</t>
        </is>
      </c>
      <c r="E20" s="12" t="n">
        <v>15900000000</v>
      </c>
      <c r="F20" s="12" t="n">
        <v>870000000</v>
      </c>
      <c r="G20" s="12" t="n">
        <v>4170000000</v>
      </c>
      <c r="H20" s="13">
        <f>IF(OR(E20="",F20=""),"",F20/E20)</f>
        <v/>
      </c>
      <c r="I20" s="13">
        <f>IF(OR(E20="",G20=""),"",G20/E20)</f>
        <v/>
      </c>
      <c r="J20" s="13">
        <f>IF(OR(H20="",I20=""),"",H20+I20)</f>
        <v/>
      </c>
      <c r="K20" s="14" t="inlineStr">
        <is>
          <t>General Motors, Toyota, Ford, Volkswagen, BMW, Tesla</t>
        </is>
      </c>
      <c r="L20" s="14" t="inlineStr">
        <is>
          <t>Automotive fasteners, polymers, fluids, welding equipment for OEM assembly</t>
        </is>
      </c>
      <c r="M20" s="11" t="inlineStr">
        <is>
          <t>FY2024</t>
        </is>
      </c>
      <c r="N20" s="14" t="inlineStr">
        <is>
          <t>ITW 2024 10-K</t>
        </is>
      </c>
    </row>
    <row r="21">
      <c r="A21" s="3" t="n">
        <v>421342800</v>
      </c>
      <c r="B21" s="4" t="inlineStr">
        <is>
          <t>NINGBO JOYSON ELECTRONIC CORP</t>
        </is>
      </c>
      <c r="C21" s="5" t="n">
        <v>1</v>
      </c>
      <c r="D21" s="5" t="inlineStr">
        <is>
          <t>Q2 2025</t>
        </is>
      </c>
      <c r="E21" s="6" t="n">
        <v>15771105261</v>
      </c>
      <c r="F21" s="6" t="n">
        <v>-315419028</v>
      </c>
      <c r="G21" s="6" t="n">
        <v>981368318</v>
      </c>
      <c r="H21" s="7">
        <f>IF(OR(E21="",F21=""),"",F21/E21)</f>
        <v/>
      </c>
      <c r="I21" s="7">
        <f>IF(OR(E21="",G21=""),"",G21/E21)</f>
        <v/>
      </c>
      <c r="J21" s="7">
        <f>IF(OR(H21="",I21=""),"",H21+I21)</f>
        <v/>
      </c>
      <c r="K21" s="8" t="inlineStr">
        <is>
          <t>Volkswagen, BMW, Mercedes, General Motors, Tesla</t>
        </is>
      </c>
      <c r="L21" s="8" t="inlineStr">
        <is>
          <t>Airbag systems, seatbelts, steering wheels, vehicle software (Key Safety Systems)</t>
        </is>
      </c>
      <c r="M21" s="5" t="inlineStr">
        <is>
          <t>Q2 2025</t>
        </is>
      </c>
      <c r="N21" s="8" t="inlineStr">
        <is>
          <t>Yahoo Finance (600699.SS)</t>
        </is>
      </c>
    </row>
    <row r="22">
      <c r="A22" s="9" t="n">
        <v>147964571</v>
      </c>
      <c r="B22" s="10" t="inlineStr">
        <is>
          <t>CLEVELAND CLIFFS INC</t>
        </is>
      </c>
      <c r="C22" s="11" t="n">
        <v>1</v>
      </c>
      <c r="D22" s="11" t="inlineStr">
        <is>
          <t>Q3 2025</t>
        </is>
      </c>
      <c r="E22" s="12" t="n">
        <v>14860000000</v>
      </c>
      <c r="F22" s="12" t="n">
        <v>347000000</v>
      </c>
      <c r="G22" s="12" t="n">
        <v>-298000000</v>
      </c>
      <c r="H22" s="13">
        <f>IF(OR(E22="",F22=""),"",F22/E22)</f>
        <v/>
      </c>
      <c r="I22" s="13">
        <f>IF(OR(E22="",G22=""),"",G22/E22)</f>
        <v/>
      </c>
      <c r="J22" s="13">
        <f>IF(OR(H22="",I22=""),"",H22+I22)</f>
        <v/>
      </c>
      <c r="K22" s="14" t="inlineStr">
        <is>
          <t>General Motors, Ford, Stellantis, Toyota</t>
        </is>
      </c>
      <c r="L22" s="14" t="inlineStr">
        <is>
          <t>Advanced high-strength steel, galvanized steel sheet, automotive steel stampings</t>
        </is>
      </c>
      <c r="M22" s="11" t="inlineStr">
        <is>
          <t>Q3 2025</t>
        </is>
      </c>
      <c r="N22" s="14" t="inlineStr">
        <is>
          <t>SEC 10-Q</t>
        </is>
      </c>
    </row>
    <row r="23">
      <c r="A23" s="3" t="n">
        <v>688298116</v>
      </c>
      <c r="B23" s="4" t="inlineStr">
        <is>
          <t>LG ELECTRONICS INC</t>
        </is>
      </c>
      <c r="C23" s="5" t="n">
        <v>1</v>
      </c>
      <c r="D23" s="5" t="inlineStr">
        <is>
          <t>Q3 2025</t>
        </is>
      </c>
      <c r="E23" s="6" t="n">
        <v>14498521440</v>
      </c>
      <c r="F23" s="6" t="n">
        <v>2555458746</v>
      </c>
      <c r="G23" s="6" t="n">
        <v>456633245</v>
      </c>
      <c r="H23" s="7">
        <f>IF(OR(E23="",F23=""),"",F23/E23)</f>
        <v/>
      </c>
      <c r="I23" s="7">
        <f>IF(OR(E23="",G23=""),"",G23/E23)</f>
        <v/>
      </c>
      <c r="J23" s="7">
        <f>IF(OR(H23="",I23=""),"",H23+I23)</f>
        <v/>
      </c>
      <c r="K23" s="8" t="inlineStr">
        <is>
          <t>General Motors, Toyota, Hyundai, Mercedes, Renault</t>
        </is>
      </c>
      <c r="L23" s="8" t="inlineStr">
        <is>
          <t>EV traction motors, infotainment systems, EV chargers, ADAS cameras</t>
        </is>
      </c>
      <c r="M23" s="5" t="inlineStr">
        <is>
          <t>Q3 2025</t>
        </is>
      </c>
      <c r="N23" s="8" t="inlineStr">
        <is>
          <t>Yahoo Finance (066570.KS)</t>
        </is>
      </c>
    </row>
    <row r="24">
      <c r="A24" s="9" t="n">
        <v>139469787</v>
      </c>
      <c r="B24" s="10" t="inlineStr">
        <is>
          <t>BORGWARNER INC</t>
        </is>
      </c>
      <c r="C24" s="11" t="n">
        <v>1</v>
      </c>
      <c r="D24" s="11" t="inlineStr">
        <is>
          <t>FY2024</t>
        </is>
      </c>
      <c r="E24" s="12" t="n">
        <v>14392000000</v>
      </c>
      <c r="F24" s="12" t="n">
        <v>576000000</v>
      </c>
      <c r="G24" s="12" t="n">
        <v>943000000</v>
      </c>
      <c r="H24" s="13">
        <f>IF(OR(E24="",F24=""),"",F24/E24)</f>
        <v/>
      </c>
      <c r="I24" s="13">
        <f>IF(OR(E24="",G24=""),"",G24/E24)</f>
        <v/>
      </c>
      <c r="J24" s="13">
        <f>IF(OR(H24="",I24=""),"",H24+I24)</f>
        <v/>
      </c>
      <c r="K24" s="14" t="inlineStr">
        <is>
          <t>General Motors, Ford, Toyota, Stellantis, Volkswagen</t>
        </is>
      </c>
      <c r="L24" s="14" t="inlineStr">
        <is>
          <t>Turbochargers, torque transfer systems, EV drive modules, battery packs, iDM systems</t>
        </is>
      </c>
      <c r="M24" s="11" t="inlineStr">
        <is>
          <t>FY2024</t>
        </is>
      </c>
      <c r="N24" s="14" t="inlineStr">
        <is>
          <t>BorgWarner 2024 10-K</t>
        </is>
      </c>
    </row>
    <row r="25">
      <c r="A25" s="3" t="n">
        <v>4467924</v>
      </c>
      <c r="B25" s="4" t="inlineStr">
        <is>
          <t>GOODYEAR TIRE &amp; RUBBER CO, THE</t>
        </is>
      </c>
      <c r="C25" s="5" t="n">
        <v>1</v>
      </c>
      <c r="D25" s="5" t="inlineStr">
        <is>
          <t>Q3 2025</t>
        </is>
      </c>
      <c r="E25" s="6" t="n">
        <v>13931000000</v>
      </c>
      <c r="F25" s="6" t="n">
        <v>2090000000</v>
      </c>
      <c r="G25" s="6" t="n"/>
      <c r="H25" s="7">
        <f>IF(OR(E25="",F25=""),"",F25/E25)</f>
        <v/>
      </c>
      <c r="I25" s="7">
        <f>IF(OR(E25="",G25=""),"",G25/E25)</f>
        <v/>
      </c>
      <c r="J25" s="7">
        <f>IF(OR(H25="",I25=""),"",H25+I25)</f>
        <v/>
      </c>
      <c r="K25" s="8" t="inlineStr">
        <is>
          <t>General Motors, Ford, Stellantis, Volkswagen, Audi</t>
        </is>
      </c>
      <c r="L25" s="8" t="inlineStr">
        <is>
          <t>Passenger tires, truck tires, run-flat tires, off-road tires</t>
        </is>
      </c>
      <c r="M25" s="5" t="inlineStr">
        <is>
          <t>Q3 2025</t>
        </is>
      </c>
      <c r="N25" s="8" t="inlineStr">
        <is>
          <t>SEC 10-Q</t>
        </is>
      </c>
    </row>
    <row r="26">
      <c r="A26" s="9" t="n">
        <v>985655816</v>
      </c>
      <c r="B26" s="10" t="inlineStr">
        <is>
          <t>ADIENT PUBLIC LTD CO</t>
        </is>
      </c>
      <c r="C26" s="11" t="n">
        <v>1</v>
      </c>
      <c r="D26" s="11" t="inlineStr">
        <is>
          <t>FY2024</t>
        </is>
      </c>
      <c r="E26" s="12" t="n">
        <v>13900000000</v>
      </c>
      <c r="F26" s="12" t="n">
        <v>620000000</v>
      </c>
      <c r="G26" s="12" t="n">
        <v>420000000</v>
      </c>
      <c r="H26" s="13">
        <f>IF(OR(E26="",F26=""),"",F26/E26)</f>
        <v/>
      </c>
      <c r="I26" s="13">
        <f>IF(OR(E26="",G26=""),"",G26/E26)</f>
        <v/>
      </c>
      <c r="J26" s="13">
        <f>IF(OR(H26="",I26=""),"",H26+I26)</f>
        <v/>
      </c>
      <c r="K26" s="14" t="inlineStr">
        <is>
          <t>Ford, General Motors, Stellantis, Volkswagen, BMW</t>
        </is>
      </c>
      <c r="L26" s="14" t="inlineStr">
        <is>
          <t>Seat frames, seat mechanisms, seat foam, seat trim/fabric, complete seat assemblies</t>
        </is>
      </c>
      <c r="M26" s="11" t="inlineStr">
        <is>
          <t>FY2024</t>
        </is>
      </c>
      <c r="N26" s="14" t="inlineStr">
        <is>
          <t>Adient FY2024 10-K</t>
        </is>
      </c>
    </row>
    <row r="27">
      <c r="A27" s="3" t="n">
        <v>690911185</v>
      </c>
      <c r="B27" s="4" t="inlineStr">
        <is>
          <t>TOYOTA BOSHOKU CORP</t>
        </is>
      </c>
      <c r="C27" s="5" t="n">
        <v>1</v>
      </c>
      <c r="D27" s="5" t="inlineStr">
        <is>
          <t>FY Mar2025</t>
        </is>
      </c>
      <c r="E27" s="6" t="n">
        <v>13900000000</v>
      </c>
      <c r="F27" s="6" t="n">
        <v>700000000</v>
      </c>
      <c r="G27" s="6" t="n">
        <v>490000000</v>
      </c>
      <c r="H27" s="7">
        <f>IF(OR(E27="",F27=""),"",F27/E27)</f>
        <v/>
      </c>
      <c r="I27" s="7">
        <f>IF(OR(E27="",G27=""),"",G27/E27)</f>
        <v/>
      </c>
      <c r="J27" s="7">
        <f>IF(OR(H27="",I27=""),"",H27+I27)</f>
        <v/>
      </c>
      <c r="K27" s="8" t="inlineStr">
        <is>
          <t>Toyota, Honda, Nissan, BMW, Subaru</t>
        </is>
      </c>
      <c r="L27" s="8" t="inlineStr">
        <is>
          <t>Interior systems, seat assemblies, door trim, air filters, fluid purification</t>
        </is>
      </c>
      <c r="M27" s="5" t="inlineStr">
        <is>
          <t>FY Mar2025</t>
        </is>
      </c>
      <c r="N27" s="8" t="inlineStr">
        <is>
          <t>Toyota Boshoku FY2024 Annual Report (JPY ~2.07T)</t>
        </is>
      </c>
    </row>
    <row r="28">
      <c r="A28" s="9" t="n">
        <v>631064016</v>
      </c>
      <c r="B28" s="10" t="inlineStr">
        <is>
          <t>SK INNOVATION CO LTD</t>
        </is>
      </c>
      <c r="C28" s="11" t="n">
        <v>1</v>
      </c>
      <c r="D28" s="11" t="inlineStr">
        <is>
          <t>Q4 2025</t>
        </is>
      </c>
      <c r="E28" s="12" t="n">
        <v>12798955642</v>
      </c>
      <c r="F28" s="12" t="n">
        <v>415817550</v>
      </c>
      <c r="G28" s="12" t="n">
        <v>223648732</v>
      </c>
      <c r="H28" s="13">
        <f>IF(OR(E28="",F28=""),"",F28/E28)</f>
        <v/>
      </c>
      <c r="I28" s="13">
        <f>IF(OR(E28="",G28=""),"",G28/E28)</f>
        <v/>
      </c>
      <c r="J28" s="13">
        <f>IF(OR(H28="",I28=""),"",H28+I28)</f>
        <v/>
      </c>
      <c r="K28" s="14" t="inlineStr">
        <is>
          <t>Ford, Volkswagen, Hyundai, Kia, Mercedes</t>
        </is>
      </c>
      <c r="L28" s="14" t="inlineStr">
        <is>
          <t>EV battery cells, battery modules, battery management systems</t>
        </is>
      </c>
      <c r="M28" s="11" t="inlineStr">
        <is>
          <t>Q4 2025</t>
        </is>
      </c>
      <c r="N28" s="14" t="inlineStr">
        <is>
          <t>Yahoo Finance (096770.KS)</t>
        </is>
      </c>
    </row>
    <row r="29">
      <c r="A29" s="3" t="n">
        <v>687741991</v>
      </c>
      <c r="B29" s="4" t="inlineStr">
        <is>
          <t>POSCO HOLDINGS INC</t>
        </is>
      </c>
      <c r="C29" s="5" t="n">
        <v>1</v>
      </c>
      <c r="D29" s="5" t="inlineStr">
        <is>
          <t>Q3 2025</t>
        </is>
      </c>
      <c r="E29" s="6" t="n">
        <v>11441078847</v>
      </c>
      <c r="F29" s="6" t="n">
        <v>392793091</v>
      </c>
      <c r="G29" s="6" t="n">
        <v>448828460</v>
      </c>
      <c r="H29" s="7">
        <f>IF(OR(E29="",F29=""),"",F29/E29)</f>
        <v/>
      </c>
      <c r="I29" s="7">
        <f>IF(OR(E29="",G29=""),"",G29/E29)</f>
        <v/>
      </c>
      <c r="J29" s="7">
        <f>IF(OR(H29="",I29=""),"",H29+I29)</f>
        <v/>
      </c>
      <c r="K29" s="8" t="inlineStr">
        <is>
          <t>Hyundai, Kia, General Motors, Ford, Tesla</t>
        </is>
      </c>
      <c r="L29" s="8" t="inlineStr">
        <is>
          <t>Automotive high-strength steel, EV battery steel cases, electrical steel</t>
        </is>
      </c>
      <c r="M29" s="5" t="inlineStr">
        <is>
          <t>Q3 2025</t>
        </is>
      </c>
      <c r="N29" s="8" t="inlineStr">
        <is>
          <t>Yahoo Finance (005490.KS)</t>
        </is>
      </c>
    </row>
    <row r="30">
      <c r="A30" s="9" t="n">
        <v>28117104</v>
      </c>
      <c r="B30" s="10" t="inlineStr">
        <is>
          <t>LKQ CORP</t>
        </is>
      </c>
      <c r="C30" s="11" t="n">
        <v>1</v>
      </c>
      <c r="D30" s="11" t="inlineStr">
        <is>
          <t>Q3 2025</t>
        </is>
      </c>
      <c r="E30" s="12" t="n">
        <v>10597000000</v>
      </c>
      <c r="F30" s="12" t="n">
        <v>2873000000</v>
      </c>
      <c r="G30" s="12" t="n">
        <v>886000000</v>
      </c>
      <c r="H30" s="13">
        <f>IF(OR(E30="",F30=""),"",F30/E30)</f>
        <v/>
      </c>
      <c r="I30" s="13">
        <f>IF(OR(E30="",G30=""),"",G30/E30)</f>
        <v/>
      </c>
      <c r="J30" s="13">
        <f>IF(OR(H30="",I30=""),"",H30+I30)</f>
        <v/>
      </c>
      <c r="K30" s="14" t="inlineStr">
        <is>
          <t>N/A</t>
        </is>
      </c>
      <c r="L30" s="14" t="inlineStr">
        <is>
          <t>Aftermarket collision parts, OEM-equivalent parts, salvage vehicles</t>
        </is>
      </c>
      <c r="M30" s="11" t="inlineStr">
        <is>
          <t>Q3 2025</t>
        </is>
      </c>
      <c r="N30" s="14" t="inlineStr">
        <is>
          <t>SEC 10-Q</t>
        </is>
      </c>
    </row>
    <row r="31">
      <c r="A31" s="3" t="n">
        <v>687755488</v>
      </c>
      <c r="B31" s="4" t="inlineStr">
        <is>
          <t>HYUNDAI MOBIS CO LTD</t>
        </is>
      </c>
      <c r="C31" s="5" t="n">
        <v>1</v>
      </c>
      <c r="D31" s="5" t="inlineStr">
        <is>
          <t>Q4 2025</t>
        </is>
      </c>
      <c r="E31" s="6" t="n">
        <v>10206152503</v>
      </c>
      <c r="F31" s="6" t="n">
        <v>395757915</v>
      </c>
      <c r="G31" s="6" t="n">
        <v>616826527</v>
      </c>
      <c r="H31" s="7">
        <f>IF(OR(E31="",F31=""),"",F31/E31)</f>
        <v/>
      </c>
      <c r="I31" s="7">
        <f>IF(OR(E31="",G31=""),"",G31/E31)</f>
        <v/>
      </c>
      <c r="J31" s="7">
        <f>IF(OR(H31="",I31=""),"",H31+I31)</f>
        <v/>
      </c>
      <c r="K31" s="8" t="inlineStr">
        <is>
          <t>Hyundai, Kia</t>
        </is>
      </c>
      <c r="L31" s="8" t="inlineStr">
        <is>
          <t>Chassis modules, front/rear axle modules, airbag systems, instrument panels, EV battery packs</t>
        </is>
      </c>
      <c r="M31" s="5" t="inlineStr">
        <is>
          <t>Q4 2025</t>
        </is>
      </c>
      <c r="N31" s="8" t="inlineStr">
        <is>
          <t>Yahoo Finance (012330.KS)</t>
        </is>
      </c>
    </row>
    <row r="32">
      <c r="A32" s="9" t="n">
        <v>690535646</v>
      </c>
      <c r="B32" s="10" t="inlineStr">
        <is>
          <t>JTEKT CORP</t>
        </is>
      </c>
      <c r="C32" s="11" t="n">
        <v>1</v>
      </c>
      <c r="D32" s="11" t="inlineStr">
        <is>
          <t>FY Mar2025</t>
        </is>
      </c>
      <c r="E32" s="12" t="n">
        <v>10184000000</v>
      </c>
      <c r="F32" s="12" t="n">
        <v>737000000</v>
      </c>
      <c r="G32" s="12" t="n">
        <v>456000000</v>
      </c>
      <c r="H32" s="13">
        <f>IF(OR(E32="",F32=""),"",F32/E32)</f>
        <v/>
      </c>
      <c r="I32" s="13">
        <f>IF(OR(E32="",G32=""),"",G32/E32)</f>
        <v/>
      </c>
      <c r="J32" s="13">
        <f>IF(OR(H32="",I32=""),"",H32+I32)</f>
        <v/>
      </c>
      <c r="K32" s="14" t="inlineStr">
        <is>
          <t>Toyota, General Motors</t>
        </is>
      </c>
      <c r="L32" s="14" t="inlineStr">
        <is>
          <t>Electric power steering systems, column-type EPS, wheel-end bearings</t>
        </is>
      </c>
      <c r="M32" s="11" t="inlineStr">
        <is>
          <t>FY Mar2025</t>
        </is>
      </c>
      <c r="N32" s="14" t="inlineStr">
        <is>
          <t>JTEKT FY2024 Annual Report (JPY ~1.52T)</t>
        </is>
      </c>
    </row>
    <row r="33">
      <c r="A33" s="3" t="n">
        <v>690553763</v>
      </c>
      <c r="B33" s="4" t="inlineStr">
        <is>
          <t>FURUKAWA ELECTRIC CO LTD</t>
        </is>
      </c>
      <c r="C33" s="5" t="n">
        <v>1</v>
      </c>
      <c r="D33" s="5" t="inlineStr">
        <is>
          <t>FY Mar2025</t>
        </is>
      </c>
      <c r="E33" s="6" t="n">
        <v>10100000000</v>
      </c>
      <c r="F33" s="6" t="n">
        <v>540000000</v>
      </c>
      <c r="G33" s="6" t="n">
        <v>320000000</v>
      </c>
      <c r="H33" s="7">
        <f>IF(OR(E33="",F33=""),"",F33/E33)</f>
        <v/>
      </c>
      <c r="I33" s="7">
        <f>IF(OR(E33="",G33=""),"",G33/E33)</f>
        <v/>
      </c>
      <c r="J33" s="7">
        <f>IF(OR(H33="",I33=""),"",H33+I33)</f>
        <v/>
      </c>
      <c r="K33" s="8" t="inlineStr">
        <is>
          <t>General Motors, Ford, Stellantis, BYD, Toyota, Honda</t>
        </is>
      </c>
      <c r="L33" s="8" t="inlineStr">
        <is>
          <t>Wiring harnesses, fiber optic cables, copper products, EV components</t>
        </is>
      </c>
      <c r="M33" s="5" t="inlineStr">
        <is>
          <t>FY Mar2025</t>
        </is>
      </c>
      <c r="N33" s="8" t="inlineStr">
        <is>
          <t>Furukawa Electric FY2024 Annual Report (JPY ~1.5T)</t>
        </is>
      </c>
    </row>
    <row r="34">
      <c r="A34" s="9" t="n">
        <v>281213280</v>
      </c>
      <c r="B34" s="10" t="inlineStr">
        <is>
          <t>BURELLE</t>
        </is>
      </c>
      <c r="C34" s="11" t="n">
        <v>1</v>
      </c>
      <c r="D34" s="11" t="inlineStr">
        <is>
          <t>FY2024</t>
        </is>
      </c>
      <c r="E34" s="12" t="n">
        <v>9936000000</v>
      </c>
      <c r="F34" s="12" t="n">
        <v>414000000</v>
      </c>
      <c r="G34" s="12" t="n">
        <v>230000000</v>
      </c>
      <c r="H34" s="13">
        <f>IF(OR(E34="",F34=""),"",F34/E34)</f>
        <v/>
      </c>
      <c r="I34" s="13">
        <f>IF(OR(E34="",G34=""),"",G34/E34)</f>
        <v/>
      </c>
      <c r="J34" s="13">
        <f>IF(OR(H34="",I34=""),"",H34+I34)</f>
        <v/>
      </c>
      <c r="K34" s="14" t="inlineStr">
        <is>
          <t>Volkswagen, Audi, BMW, Mercedes, Stellantis, Renault</t>
        </is>
      </c>
      <c r="L34" s="14" t="inlineStr">
        <is>
          <t>Bumper fascia, body panels, fuel systems, hydrogen storage modules (Plastic Omnium)</t>
        </is>
      </c>
      <c r="M34" s="11" t="inlineStr">
        <is>
          <t>FY2024</t>
        </is>
      </c>
      <c r="N34" s="14" t="inlineStr">
        <is>
          <t>Burelle/Plastic Omnium 2024 Annual Results (EUR ~€9.2B)</t>
        </is>
      </c>
    </row>
    <row r="35">
      <c r="A35" s="3" t="n">
        <v>4175550</v>
      </c>
      <c r="B35" s="4" t="inlineStr">
        <is>
          <t>PARKER-HANNIFIN CORPORATION</t>
        </is>
      </c>
      <c r="C35" s="5" t="n">
        <v>1</v>
      </c>
      <c r="D35" s="5" t="inlineStr">
        <is>
          <t>Q2 2026</t>
        </is>
      </c>
      <c r="E35" s="6" t="n">
        <v>9647000000</v>
      </c>
      <c r="F35" s="6" t="n">
        <v>1631000000</v>
      </c>
      <c r="G35" s="6" t="n">
        <v>2050000000</v>
      </c>
      <c r="H35" s="7">
        <f>IF(OR(E35="",F35=""),"",F35/E35)</f>
        <v/>
      </c>
      <c r="I35" s="7">
        <f>IF(OR(E35="",G35=""),"",G35/E35)</f>
        <v/>
      </c>
      <c r="J35" s="7">
        <f>IF(OR(H35="",I35=""),"",H35+I35)</f>
        <v/>
      </c>
      <c r="K35" s="8" t="inlineStr">
        <is>
          <t>General Motors, Ford, Volkswagen, Hyundai, Stellantis</t>
        </is>
      </c>
      <c r="L35" s="8" t="inlineStr">
        <is>
          <t>Fluid connectors, hydraulic systems, filtration, thermal management, sealing</t>
        </is>
      </c>
      <c r="M35" s="5" t="inlineStr">
        <is>
          <t>Q2 2026</t>
        </is>
      </c>
      <c r="N35" s="8" t="inlineStr">
        <is>
          <t>SEC 10-Q</t>
        </is>
      </c>
    </row>
    <row r="36">
      <c r="A36" s="9" t="n">
        <v>340502442</v>
      </c>
      <c r="B36" s="10" t="inlineStr">
        <is>
          <t>THYSSENKRUPP AG</t>
        </is>
      </c>
      <c r="C36" s="11" t="n">
        <v>1</v>
      </c>
      <c r="D36" s="11" t="inlineStr">
        <is>
          <t>Q4 2025</t>
        </is>
      </c>
      <c r="E36" s="12" t="n">
        <v>8234956652</v>
      </c>
      <c r="F36" s="12" t="n">
        <v>1210315132</v>
      </c>
      <c r="G36" s="12" t="n">
        <v>-505444103</v>
      </c>
      <c r="H36" s="13">
        <f>IF(OR(E36="",F36=""),"",F36/E36)</f>
        <v/>
      </c>
      <c r="I36" s="13">
        <f>IF(OR(E36="",G36=""),"",G36/E36)</f>
        <v/>
      </c>
      <c r="J36" s="13">
        <f>IF(OR(H36="",I36=""),"",H36+I36)</f>
        <v/>
      </c>
      <c r="K36" s="14" t="inlineStr">
        <is>
          <t>Mercedes, BMW, Audi, Tesla</t>
        </is>
      </c>
      <c r="L36" s="14" t="inlineStr">
        <is>
          <t>Automotive steel, springs, stabilizer bars, steering systems, camshafts</t>
        </is>
      </c>
      <c r="M36" s="11" t="inlineStr">
        <is>
          <t>Q4 2025</t>
        </is>
      </c>
      <c r="N36" s="14" t="inlineStr">
        <is>
          <t>Yahoo Finance (TKA.DE)</t>
        </is>
      </c>
    </row>
    <row r="37">
      <c r="A37" s="3" t="n">
        <v>76854327</v>
      </c>
      <c r="B37" s="4" t="inlineStr">
        <is>
          <t>AUTOLIV INC</t>
        </is>
      </c>
      <c r="C37" s="5" t="n">
        <v>1</v>
      </c>
      <c r="D37" s="5" t="inlineStr">
        <is>
          <t>Q3 2025</t>
        </is>
      </c>
      <c r="E37" s="6" t="n">
        <v>7774000000</v>
      </c>
      <c r="F37" s="6" t="n">
        <v>399000000</v>
      </c>
      <c r="G37" s="6" t="n">
        <v>626000000</v>
      </c>
      <c r="H37" s="7">
        <f>IF(OR(E37="",F37=""),"",F37/E37)</f>
        <v/>
      </c>
      <c r="I37" s="7">
        <f>IF(OR(E37="",G37=""),"",G37/E37)</f>
        <v/>
      </c>
      <c r="J37" s="7">
        <f>IF(OR(H37="",I37=""),"",H37+I37)</f>
        <v/>
      </c>
      <c r="K37" s="8" t="inlineStr">
        <is>
          <t>Hyundai, Honda, Toyota, Stellantis, Volkswagen, Mercedes</t>
        </is>
      </c>
      <c r="L37" s="8" t="inlineStr">
        <is>
          <t>Airbags, seatbelts, steering wheels, pretensioners, pedestrian protection systems</t>
        </is>
      </c>
      <c r="M37" s="5" t="inlineStr">
        <is>
          <t>Q3 2025</t>
        </is>
      </c>
      <c r="N37" s="8" t="inlineStr">
        <is>
          <t>SEC 10-Q</t>
        </is>
      </c>
    </row>
    <row r="38">
      <c r="A38" s="9" t="n">
        <v>688279996</v>
      </c>
      <c r="B38" s="10" t="inlineStr">
        <is>
          <t>LG CHEM LTD</t>
        </is>
      </c>
      <c r="C38" s="11" t="n">
        <v>1</v>
      </c>
      <c r="D38" s="11" t="inlineStr">
        <is>
          <t>Q4 2025</t>
        </is>
      </c>
      <c r="E38" s="12" t="n">
        <v>7421759380</v>
      </c>
      <c r="F38" s="12" t="n">
        <v>844151561</v>
      </c>
      <c r="G38" s="12" t="n">
        <v>-273922413</v>
      </c>
      <c r="H38" s="13">
        <f>IF(OR(E38="",F38=""),"",F38/E38)</f>
        <v/>
      </c>
      <c r="I38" s="13">
        <f>IF(OR(E38="",G38=""),"",G38/E38)</f>
        <v/>
      </c>
      <c r="J38" s="13">
        <f>IF(OR(H38="",I38=""),"",H38+I38)</f>
        <v/>
      </c>
      <c r="K38" s="14" t="inlineStr">
        <is>
          <t>General Motors, Toyota, Tesla</t>
        </is>
      </c>
      <c r="L38" s="14" t="inlineStr">
        <is>
          <t>EV battery cells, battery modules, battery packs, cathode materials</t>
        </is>
      </c>
      <c r="M38" s="11" t="inlineStr">
        <is>
          <t>Q4 2025</t>
        </is>
      </c>
      <c r="N38" s="14" t="inlineStr">
        <is>
          <t>Yahoo Finance (051910.KS)</t>
        </is>
      </c>
    </row>
    <row r="39">
      <c r="A39" s="3" t="n">
        <v>41810979</v>
      </c>
      <c r="B39" s="4" t="inlineStr">
        <is>
          <t>JABIL CIRCUIT CO</t>
        </is>
      </c>
      <c r="C39" s="5" t="n">
        <v>1</v>
      </c>
      <c r="D39" s="5" t="inlineStr">
        <is>
          <t>Q1 2026</t>
        </is>
      </c>
      <c r="E39" s="6" t="n">
        <v>6994000000</v>
      </c>
      <c r="F39" s="6" t="n">
        <v>305000000</v>
      </c>
      <c r="G39" s="6" t="n">
        <v>197000000</v>
      </c>
      <c r="H39" s="7">
        <f>IF(OR(E39="",F39=""),"",F39/E39)</f>
        <v/>
      </c>
      <c r="I39" s="7">
        <f>IF(OR(E39="",G39=""),"",G39/E39)</f>
        <v/>
      </c>
      <c r="J39" s="7">
        <f>IF(OR(H39="",I39=""),"",H39+I39)</f>
        <v/>
      </c>
      <c r="K39" s="8" t="inlineStr">
        <is>
          <t>Ford, General Motors, Toyota, Honda, Hyundai</t>
        </is>
      </c>
      <c r="L39" s="8" t="inlineStr">
        <is>
          <t>Automotive electronics manufacturing, EV power modules, connectors</t>
        </is>
      </c>
      <c r="M39" s="5" t="inlineStr">
        <is>
          <t>Q1 2026</t>
        </is>
      </c>
      <c r="N39" s="8" t="inlineStr">
        <is>
          <t>SEC 10-Q</t>
        </is>
      </c>
    </row>
    <row r="40">
      <c r="A40" s="9" t="n">
        <v>809105351</v>
      </c>
      <c r="B40" s="10" t="inlineStr">
        <is>
          <t>DANA INC</t>
        </is>
      </c>
      <c r="C40" s="11" t="n">
        <v>1</v>
      </c>
      <c r="D40" s="11" t="inlineStr">
        <is>
          <t>Q3 2025</t>
        </is>
      </c>
      <c r="E40" s="12" t="n">
        <v>5960000000</v>
      </c>
      <c r="F40" s="12" t="n">
        <v>328000000</v>
      </c>
      <c r="G40" s="12" t="n">
        <v>-59000000</v>
      </c>
      <c r="H40" s="13">
        <f>IF(OR(E40="",F40=""),"",F40/E40)</f>
        <v/>
      </c>
      <c r="I40" s="13">
        <f>IF(OR(E40="",G40=""),"",G40/E40)</f>
        <v/>
      </c>
      <c r="J40" s="13">
        <f>IF(OR(H40="",I40=""),"",H40+I40)</f>
        <v/>
      </c>
      <c r="K40" s="14" t="inlineStr">
        <is>
          <t>Ford, Stellantis, Toyota</t>
        </is>
      </c>
      <c r="L40" s="14" t="inlineStr">
        <is>
          <t>Driveshafts, axles, electric drive units, thermal management, sealing solutions</t>
        </is>
      </c>
      <c r="M40" s="11" t="inlineStr">
        <is>
          <t>Q3 2025</t>
        </is>
      </c>
      <c r="N40" s="14" t="inlineStr">
        <is>
          <t>SEC 10-Q</t>
        </is>
      </c>
    </row>
    <row r="41">
      <c r="A41" s="3" t="n">
        <v>44766678</v>
      </c>
      <c r="B41" s="4" t="inlineStr">
        <is>
          <t>AMERICAN AXLE &amp; MANUFACTURING</t>
        </is>
      </c>
      <c r="C41" s="5" t="n">
        <v>1</v>
      </c>
      <c r="D41" s="5" t="inlineStr">
        <is>
          <t>FY2024</t>
        </is>
      </c>
      <c r="E41" s="6" t="n">
        <v>5698000000</v>
      </c>
      <c r="F41" s="6" t="n">
        <v>198000000</v>
      </c>
      <c r="G41" s="6" t="n">
        <v>143000000</v>
      </c>
      <c r="H41" s="7">
        <f>IF(OR(E41="",F41=""),"",F41/E41)</f>
        <v/>
      </c>
      <c r="I41" s="7">
        <f>IF(OR(E41="",G41=""),"",G41/E41)</f>
        <v/>
      </c>
      <c r="J41" s="7">
        <f>IF(OR(H41="",I41=""),"",H41+I41)</f>
        <v/>
      </c>
      <c r="K41" s="8" t="inlineStr">
        <is>
          <t>General Motors, Ford, Stellantis</t>
        </is>
      </c>
      <c r="L41" s="8" t="inlineStr">
        <is>
          <t>Driveshafts, axles, driveline modules, EV electric drive units</t>
        </is>
      </c>
      <c r="M41" s="5" t="inlineStr">
        <is>
          <t>FY2024</t>
        </is>
      </c>
      <c r="N41" s="8" t="inlineStr">
        <is>
          <t>AAM 2024 10-K</t>
        </is>
      </c>
    </row>
    <row r="42">
      <c r="A42" s="9" t="n">
        <v>688250455</v>
      </c>
      <c r="B42" s="10" t="inlineStr">
        <is>
          <t>HL MANDO CORPORATION</t>
        </is>
      </c>
      <c r="C42" s="11" t="n">
        <v>1</v>
      </c>
      <c r="D42" s="11" t="inlineStr">
        <is>
          <t>FY2024</t>
        </is>
      </c>
      <c r="E42" s="12" t="n">
        <v>5694000000</v>
      </c>
      <c r="F42" s="12" t="n">
        <v>329000000</v>
      </c>
      <c r="G42" s="12" t="n">
        <v>153000000</v>
      </c>
      <c r="H42" s="13">
        <f>IF(OR(E42="",F42=""),"",F42/E42)</f>
        <v/>
      </c>
      <c r="I42" s="13">
        <f>IF(OR(E42="",G42=""),"",G42/E42)</f>
        <v/>
      </c>
      <c r="J42" s="13">
        <f>IF(OR(H42="",I42=""),"",H42+I42)</f>
        <v/>
      </c>
      <c r="K42" s="14" t="inlineStr">
        <is>
          <t>General Motors, Hyundai, Kia, Ford, Nissan, Chrysler</t>
        </is>
      </c>
      <c r="L42" s="14" t="inlineStr">
        <is>
          <t>Brakes, steering systems, suspension, ADAS, electronic control units</t>
        </is>
      </c>
      <c r="M42" s="11" t="inlineStr">
        <is>
          <t>FY2024</t>
        </is>
      </c>
      <c r="N42" s="14" t="inlineStr">
        <is>
          <t>HL Mando 2024 Annual Report (KRW ~7.8T)</t>
        </is>
      </c>
    </row>
    <row r="43">
      <c r="A43" s="3" t="n">
        <v>544091510</v>
      </c>
      <c r="B43" s="4" t="inlineStr">
        <is>
          <t>PRYSMIAN SPA</t>
        </is>
      </c>
      <c r="C43" s="5" t="n">
        <v>1</v>
      </c>
      <c r="D43" s="5" t="inlineStr">
        <is>
          <t>Q4 2025</t>
        </is>
      </c>
      <c r="E43" s="6" t="n">
        <v>5691690290</v>
      </c>
      <c r="F43" s="6" t="n"/>
      <c r="G43" s="6" t="n">
        <v>406876773</v>
      </c>
      <c r="H43" s="7">
        <f>IF(OR(E43="",F43=""),"",F43/E43)</f>
        <v/>
      </c>
      <c r="I43" s="7">
        <f>IF(OR(E43="",G43=""),"",G43/E43)</f>
        <v/>
      </c>
      <c r="J43" s="7">
        <f>IF(OR(H43="",I43=""),"",H43+I43)</f>
        <v/>
      </c>
      <c r="K43" s="8" t="inlineStr">
        <is>
          <t>Ford, Toyota, Stellantis, General Motors, Volkswagen</t>
        </is>
      </c>
      <c r="L43" s="8" t="inlineStr">
        <is>
          <t>High-voltage EV cables, automotive wiring, charging cables</t>
        </is>
      </c>
      <c r="M43" s="5" t="inlineStr">
        <is>
          <t>Q4 2025</t>
        </is>
      </c>
      <c r="N43" s="8" t="inlineStr">
        <is>
          <t>Yahoo Finance (PRY.MI)</t>
        </is>
      </c>
    </row>
    <row r="44">
      <c r="A44" s="9" t="n">
        <v>315674267</v>
      </c>
      <c r="B44" s="10" t="inlineStr">
        <is>
          <t>CONTINENTAL AKTIENGESELLSCHAFT</t>
        </is>
      </c>
      <c r="C44" s="11" t="n">
        <v>1</v>
      </c>
      <c r="D44" s="11" t="inlineStr">
        <is>
          <t>Q4 2025</t>
        </is>
      </c>
      <c r="E44" s="12" t="n">
        <v>5690544158</v>
      </c>
      <c r="F44" s="12" t="n">
        <v>942120302</v>
      </c>
      <c r="G44" s="12" t="n">
        <v>335816604</v>
      </c>
      <c r="H44" s="13">
        <f>IF(OR(E44="",F44=""),"",F44/E44)</f>
        <v/>
      </c>
      <c r="I44" s="13">
        <f>IF(OR(E44="",G44=""),"",G44/E44)</f>
        <v/>
      </c>
      <c r="J44" s="13">
        <f>IF(OR(H44="",I44=""),"",H44+I44)</f>
        <v/>
      </c>
      <c r="K44" s="14" t="inlineStr">
        <is>
          <t>Volkswagen, Mercedes, BMW, Tesla, Stellantis, General Motors</t>
        </is>
      </c>
      <c r="L44" s="14" t="inlineStr">
        <is>
          <t>Tires, brakes, powertrain electronics, ADAS sensors, instrument clusters, CVT belts</t>
        </is>
      </c>
      <c r="M44" s="11" t="inlineStr">
        <is>
          <t>Q4 2025</t>
        </is>
      </c>
      <c r="N44" s="14" t="inlineStr">
        <is>
          <t>Yahoo Finance (CON.DE)</t>
        </is>
      </c>
    </row>
    <row r="45">
      <c r="A45" s="3" t="n">
        <v>690555925</v>
      </c>
      <c r="B45" s="4" t="inlineStr">
        <is>
          <t>NIPPON SHEET GLASS CO LTD</t>
        </is>
      </c>
      <c r="C45" s="5" t="n">
        <v>1</v>
      </c>
      <c r="D45" s="5" t="inlineStr">
        <is>
          <t>FY Mar2025</t>
        </is>
      </c>
      <c r="E45" s="6" t="n">
        <v>5100000000</v>
      </c>
      <c r="F45" s="6" t="n">
        <v>310000000</v>
      </c>
      <c r="G45" s="6" t="n">
        <v>240000000</v>
      </c>
      <c r="H45" s="7">
        <f>IF(OR(E45="",F45=""),"",F45/E45)</f>
        <v/>
      </c>
      <c r="I45" s="7">
        <f>IF(OR(E45="",G45=""),"",G45/E45)</f>
        <v/>
      </c>
      <c r="J45" s="7">
        <f>IF(OR(H45="",I45=""),"",H45+I45)</f>
        <v/>
      </c>
      <c r="K45" s="8" t="inlineStr">
        <is>
          <t>Toyota, Honda, Volkswagen, Nissan, General Motors</t>
        </is>
      </c>
      <c r="L45" s="8" t="inlineStr">
        <is>
          <t>Automotive laminated glass, tempered glass, solar-control glass</t>
        </is>
      </c>
      <c r="M45" s="5" t="inlineStr">
        <is>
          <t>FY Mar2025</t>
        </is>
      </c>
      <c r="N45" s="8" t="inlineStr">
        <is>
          <t>NSG FY2024 Annual Report (JPY ~760B)</t>
        </is>
      </c>
    </row>
    <row r="46">
      <c r="A46" s="9" t="n">
        <v>343056307</v>
      </c>
      <c r="B46" s="10" t="inlineStr">
        <is>
          <t>VITESCO TECHNOLOGIES GROUP AG</t>
        </is>
      </c>
      <c r="C46" s="11" t="n">
        <v>1</v>
      </c>
      <c r="D46" s="11" t="inlineStr">
        <is>
          <t>FY2023</t>
        </is>
      </c>
      <c r="E46" s="12" t="n">
        <v>4212000000</v>
      </c>
      <c r="F46" s="12" t="n">
        <v>190000000</v>
      </c>
      <c r="G46" s="12" t="n">
        <v>82000000</v>
      </c>
      <c r="H46" s="13">
        <f>IF(OR(E46="",F46=""),"",F46/E46)</f>
        <v/>
      </c>
      <c r="I46" s="13">
        <f>IF(OR(E46="",G46=""),"",G46/E46)</f>
        <v/>
      </c>
      <c r="J46" s="13">
        <f>IF(OR(H46="",I46=""),"",H46+I46)</f>
        <v/>
      </c>
      <c r="K46" s="14" t="inlineStr">
        <is>
          <t>Volkswagen, Hyundai, Renault, Ford, General Motors</t>
        </is>
      </c>
      <c r="L46" s="14" t="inlineStr">
        <is>
          <t>EV power electronics, e-axle drive systems, emission control, battery management</t>
        </is>
      </c>
      <c r="M46" s="11" t="inlineStr">
        <is>
          <t>FY2023</t>
        </is>
      </c>
      <c r="N46" s="14" t="inlineStr">
        <is>
          <t>Vitesco FY2023 (acquired by Schaeffler Nov 2024, last full year)</t>
        </is>
      </c>
    </row>
    <row r="47">
      <c r="A47" s="3" t="n">
        <v>812278687</v>
      </c>
      <c r="B47" s="4" t="inlineStr">
        <is>
          <t>ALFA SAB DE CV</t>
        </is>
      </c>
      <c r="C47" s="5" t="n">
        <v>1</v>
      </c>
      <c r="D47" s="5" t="inlineStr">
        <is>
          <t>FY2024</t>
        </is>
      </c>
      <c r="E47" s="6" t="n">
        <v>4200000000</v>
      </c>
      <c r="F47" s="6" t="n">
        <v>168000000</v>
      </c>
      <c r="G47" s="6" t="n">
        <v>190000000</v>
      </c>
      <c r="H47" s="7">
        <f>IF(OR(E47="",F47=""),"",F47/E47)</f>
        <v/>
      </c>
      <c r="I47" s="7">
        <f>IF(OR(E47="",G47=""),"",G47/E47)</f>
        <v/>
      </c>
      <c r="J47" s="7">
        <f>IF(OR(H47="",I47=""),"",H47+I47)</f>
        <v/>
      </c>
      <c r="K47" s="8" t="inlineStr">
        <is>
          <t>General Motors, Ford, Stellantis, BMW, Mercedes</t>
        </is>
      </c>
      <c r="L47" s="8" t="inlineStr">
        <is>
          <t>Aluminum cylinder heads, engine blocks, EV battery housings, aluminum castings (Nemak)</t>
        </is>
      </c>
      <c r="M47" s="5" t="inlineStr">
        <is>
          <t>FY2024</t>
        </is>
      </c>
      <c r="N47" s="8" t="inlineStr">
        <is>
          <t>Nemak FY2024 Annual Report</t>
        </is>
      </c>
    </row>
    <row r="48">
      <c r="A48" s="9" t="n">
        <v>690635255</v>
      </c>
      <c r="B48" s="10" t="inlineStr">
        <is>
          <t>NIDEC CORP</t>
        </is>
      </c>
      <c r="C48" s="11" t="n">
        <v>1</v>
      </c>
      <c r="D48" s="11" t="inlineStr">
        <is>
          <t>Q3 2024</t>
        </is>
      </c>
      <c r="E48" s="12" t="n">
        <v>4040786847</v>
      </c>
      <c r="F48" s="12" t="n">
        <v>324060284</v>
      </c>
      <c r="G48" s="12" t="n">
        <v>380149206</v>
      </c>
      <c r="H48" s="13">
        <f>IF(OR(E48="",F48=""),"",F48/E48)</f>
        <v/>
      </c>
      <c r="I48" s="13">
        <f>IF(OR(E48="",G48=""),"",G48/E48)</f>
        <v/>
      </c>
      <c r="J48" s="13">
        <f>IF(OR(H48="",I48=""),"",H48+I48)</f>
        <v/>
      </c>
      <c r="K48" s="14" t="inlineStr">
        <is>
          <t>Toyota, Honda, Stellantis, General Motors, Ford</t>
        </is>
      </c>
      <c r="L48" s="14" t="inlineStr">
        <is>
          <t>EV traction motors, e-axles, EPS motors, blower motors, precision motors</t>
        </is>
      </c>
      <c r="M48" s="11" t="inlineStr">
        <is>
          <t>Q3 2024</t>
        </is>
      </c>
      <c r="N48" s="14" t="inlineStr">
        <is>
          <t>Yahoo Finance (6594.T)</t>
        </is>
      </c>
    </row>
    <row r="49">
      <c r="A49" s="3" t="n">
        <v>485203835</v>
      </c>
      <c r="B49" s="4" t="inlineStr">
        <is>
          <t>TE CONNECTIVITY LTD</t>
        </is>
      </c>
      <c r="C49" s="5" t="n">
        <v>1</v>
      </c>
      <c r="D49" s="5" t="inlineStr">
        <is>
          <t>Q1 2026</t>
        </is>
      </c>
      <c r="E49" s="6" t="n">
        <v>3836000000</v>
      </c>
      <c r="F49" s="6" t="n">
        <v>427000000</v>
      </c>
      <c r="G49" s="6" t="n">
        <v>690000000</v>
      </c>
      <c r="H49" s="7">
        <f>IF(OR(E49="",F49=""),"",F49/E49)</f>
        <v/>
      </c>
      <c r="I49" s="7">
        <f>IF(OR(E49="",G49=""),"",G49/E49)</f>
        <v/>
      </c>
      <c r="J49" s="7">
        <f>IF(OR(H49="",I49=""),"",H49+I49)</f>
        <v/>
      </c>
      <c r="K49" s="8" t="inlineStr">
        <is>
          <t>General Motors, BMW, Ford, Toyota, Tesla, Volkswagen</t>
        </is>
      </c>
      <c r="L49" s="8" t="inlineStr">
        <is>
          <t>EV connectors, high-voltage harness connectors, relays, sensors, antennae</t>
        </is>
      </c>
      <c r="M49" s="5" t="inlineStr">
        <is>
          <t>Q1 2026</t>
        </is>
      </c>
      <c r="N49" s="8" t="inlineStr">
        <is>
          <t>SEC 10-Q</t>
        </is>
      </c>
    </row>
    <row r="50">
      <c r="A50" s="9" t="n">
        <v>864421750</v>
      </c>
      <c r="B50" s="10" t="inlineStr">
        <is>
          <t>NEXTEER AUTOMOTIVE GROUP LTD</t>
        </is>
      </c>
      <c r="C50" s="11" t="n">
        <v>1</v>
      </c>
      <c r="D50" s="11" t="inlineStr">
        <is>
          <t>FY2024</t>
        </is>
      </c>
      <c r="E50" s="12" t="n">
        <v>3800000000</v>
      </c>
      <c r="F50" s="12" t="n">
        <v>130000000</v>
      </c>
      <c r="G50" s="12" t="n">
        <v>165000000</v>
      </c>
      <c r="H50" s="13">
        <f>IF(OR(E50="",F50=""),"",F50/E50)</f>
        <v/>
      </c>
      <c r="I50" s="13">
        <f>IF(OR(E50="",G50=""),"",G50/E50)</f>
        <v/>
      </c>
      <c r="J50" s="13">
        <f>IF(OR(H50="",I50=""),"",H50+I50)</f>
        <v/>
      </c>
      <c r="K50" s="14" t="inlineStr">
        <is>
          <t>General Motors, Ford, Stellantis, BMW, Volkswagen</t>
        </is>
      </c>
      <c r="L50" s="14" t="inlineStr">
        <is>
          <t>Electric power steering systems, rack &amp; pinion assemblies, driveshafts, steering columns</t>
        </is>
      </c>
      <c r="M50" s="11" t="inlineStr">
        <is>
          <t>FY2024</t>
        </is>
      </c>
      <c r="N50" s="14" t="inlineStr">
        <is>
          <t>Nexteer 2024 Annual Report</t>
        </is>
      </c>
    </row>
    <row r="51">
      <c r="A51" s="3" t="n">
        <v>690553888</v>
      </c>
      <c r="B51" s="4" t="inlineStr">
        <is>
          <t>AGC INC</t>
        </is>
      </c>
      <c r="C51" s="5" t="n">
        <v>1</v>
      </c>
      <c r="D51" s="5" t="inlineStr">
        <is>
          <t>Q2 2024</t>
        </is>
      </c>
      <c r="E51" s="6" t="n">
        <v>3232247708</v>
      </c>
      <c r="F51" s="6" t="n">
        <v>582431066</v>
      </c>
      <c r="G51" s="6" t="n">
        <v>200266615</v>
      </c>
      <c r="H51" s="7">
        <f>IF(OR(E51="",F51=""),"",F51/E51)</f>
        <v/>
      </c>
      <c r="I51" s="7">
        <f>IF(OR(E51="",G51=""),"",G51/E51)</f>
        <v/>
      </c>
      <c r="J51" s="7">
        <f>IF(OR(H51="",I51=""),"",H51+I51)</f>
        <v/>
      </c>
      <c r="K51" s="8" t="inlineStr">
        <is>
          <t>BMW, Volkswagen, Mercedes, General Motors, Tesla</t>
        </is>
      </c>
      <c r="L51" s="8" t="inlineStr">
        <is>
          <t>Windshields, side glass, HUD glass, acoustic laminated glass</t>
        </is>
      </c>
      <c r="M51" s="5" t="inlineStr">
        <is>
          <t>Q2 2024</t>
        </is>
      </c>
      <c r="N51" s="8" t="inlineStr">
        <is>
          <t>Yahoo Finance (5201.T)</t>
        </is>
      </c>
    </row>
    <row r="52">
      <c r="A52" s="9" t="n">
        <v>223144058</v>
      </c>
      <c r="B52" s="10" t="inlineStr">
        <is>
          <t>SENSATA TECHNOLOGIES HOLDING PLC</t>
        </is>
      </c>
      <c r="C52" s="11" t="n">
        <v>1</v>
      </c>
      <c r="D52" s="11" t="inlineStr">
        <is>
          <t>Q3 2025</t>
        </is>
      </c>
      <c r="E52" s="12" t="n">
        <v>3025074000</v>
      </c>
      <c r="F52" s="12" t="n">
        <v>283772000</v>
      </c>
      <c r="G52" s="12" t="n">
        <v>75512000</v>
      </c>
      <c r="H52" s="13">
        <f>IF(OR(E52="",F52=""),"",F52/E52)</f>
        <v/>
      </c>
      <c r="I52" s="13">
        <f>IF(OR(E52="",G52=""),"",G52/E52)</f>
        <v/>
      </c>
      <c r="J52" s="13">
        <f>IF(OR(H52="",I52=""),"",H52+I52)</f>
        <v/>
      </c>
      <c r="K52" s="14" t="inlineStr">
        <is>
          <t>Tesla, General Motors, Ford, Volkswagen, Volvo</t>
        </is>
      </c>
      <c r="L52" s="14" t="inlineStr">
        <is>
          <t>Pressure sensors, temperature sensors, position sensors, EV battery sensors</t>
        </is>
      </c>
      <c r="M52" s="11" t="inlineStr">
        <is>
          <t>Q3 2025</t>
        </is>
      </c>
      <c r="N52" s="14" t="inlineStr">
        <is>
          <t>SEC 10-Q</t>
        </is>
      </c>
    </row>
    <row r="53">
      <c r="A53" s="3" t="n">
        <v>183727804</v>
      </c>
      <c r="B53" s="4" t="inlineStr">
        <is>
          <t>VISTEON CORP</t>
        </is>
      </c>
      <c r="C53" s="5" t="n">
        <v>1</v>
      </c>
      <c r="D53" s="5" t="inlineStr">
        <is>
          <t>Q3 2025</t>
        </is>
      </c>
      <c r="E53" s="6" t="n">
        <v>2927000000</v>
      </c>
      <c r="F53" s="6" t="n">
        <v>152000000</v>
      </c>
      <c r="G53" s="6" t="n"/>
      <c r="H53" s="7">
        <f>IF(OR(E53="",F53=""),"",F53/E53)</f>
        <v/>
      </c>
      <c r="I53" s="7">
        <f>IF(OR(E53="",G53=""),"",G53/E53)</f>
        <v/>
      </c>
      <c r="J53" s="7">
        <f>IF(OR(H53="",I53=""),"",H53+I53)</f>
        <v/>
      </c>
      <c r="K53" s="8" t="inlineStr">
        <is>
          <t>General Motors, Ford, Stellantis, Hyundai, Kia, Nissan</t>
        </is>
      </c>
      <c r="L53" s="8" t="inlineStr">
        <is>
          <t>Digital instrument clusters, infotainment head units, connected car systems</t>
        </is>
      </c>
      <c r="M53" s="5" t="inlineStr">
        <is>
          <t>Q3 2025</t>
        </is>
      </c>
      <c r="N53" s="8" t="inlineStr">
        <is>
          <t>SEC 10-Q</t>
        </is>
      </c>
    </row>
    <row r="54">
      <c r="A54" s="9" t="n">
        <v>361293918</v>
      </c>
      <c r="B54" s="10" t="inlineStr">
        <is>
          <t>COOPER STANDARD HOLDINGS INC</t>
        </is>
      </c>
      <c r="C54" s="11" t="n">
        <v>1</v>
      </c>
      <c r="D54" s="11" t="inlineStr">
        <is>
          <t>FY2024</t>
        </is>
      </c>
      <c r="E54" s="12" t="n">
        <v>2793000000</v>
      </c>
      <c r="F54" s="12" t="n">
        <v>120000000</v>
      </c>
      <c r="G54" s="12" t="n">
        <v>82000000</v>
      </c>
      <c r="H54" s="13">
        <f>IF(OR(E54="",F54=""),"",F54/E54)</f>
        <v/>
      </c>
      <c r="I54" s="13">
        <f>IF(OR(E54="",G54=""),"",G54/E54)</f>
        <v/>
      </c>
      <c r="J54" s="13">
        <f>IF(OR(H54="",I54=""),"",H54+I54)</f>
        <v/>
      </c>
      <c r="K54" s="14" t="inlineStr">
        <is>
          <t>General Motors, Ford, Stellantis, Volkswagen, Mercedes</t>
        </is>
      </c>
      <c r="L54" s="14" t="inlineStr">
        <is>
          <t>Door &amp; window sealing systems, fuel &amp; brake hoses, fluid transfer systems</t>
        </is>
      </c>
      <c r="M54" s="11" t="inlineStr">
        <is>
          <t>FY2024</t>
        </is>
      </c>
      <c r="N54" s="14" t="inlineStr">
        <is>
          <t>Cooper-Standard 2024 10-K</t>
        </is>
      </c>
    </row>
    <row r="55">
      <c r="A55" s="3" t="n">
        <v>221150144</v>
      </c>
      <c r="B55" s="4" t="inlineStr">
        <is>
          <t>MELROSE INDUSTRIES PLC</t>
        </is>
      </c>
      <c r="C55" s="5" t="n">
        <v>1</v>
      </c>
      <c r="D55" s="5" t="inlineStr">
        <is>
          <t>FY2024</t>
        </is>
      </c>
      <c r="E55" s="6" t="n">
        <v>2667000000</v>
      </c>
      <c r="F55" s="6" t="n">
        <v>96000000</v>
      </c>
      <c r="G55" s="6" t="n">
        <v>243000000</v>
      </c>
      <c r="H55" s="7">
        <f>IF(OR(E55="",F55=""),"",F55/E55)</f>
        <v/>
      </c>
      <c r="I55" s="7">
        <f>IF(OR(E55="",G55=""),"",G55/E55)</f>
        <v/>
      </c>
      <c r="J55" s="7">
        <f>IF(OR(H55="",I55=""),"",H55+I55)</f>
        <v/>
      </c>
      <c r="K55" s="8" t="inlineStr">
        <is>
          <t>BMW, Mercedes, Volkswagen, Toyota</t>
        </is>
      </c>
      <c r="L55" s="8" t="inlineStr">
        <is>
          <t>Driveshafts, sideshafts, eDrive units, powder metal components (GKN Automotive)</t>
        </is>
      </c>
      <c r="M55" s="5" t="inlineStr">
        <is>
          <t>FY2024</t>
        </is>
      </c>
      <c r="N55" s="8" t="inlineStr">
        <is>
          <t>Melrose FY2024 Annual Report (GBP ~£2.1B)</t>
        </is>
      </c>
    </row>
    <row r="56">
      <c r="A56" s="9" t="n">
        <v>81174775</v>
      </c>
      <c r="B56" s="10" t="inlineStr">
        <is>
          <t>GARRETT MOTION INC</t>
        </is>
      </c>
      <c r="C56" s="11" t="n">
        <v>1</v>
      </c>
      <c r="D56" s="11" t="inlineStr">
        <is>
          <t>Q3 2025</t>
        </is>
      </c>
      <c r="E56" s="12" t="n">
        <v>2631000000</v>
      </c>
      <c r="F56" s="12" t="n">
        <v>178000000</v>
      </c>
      <c r="G56" s="12" t="n"/>
      <c r="H56" s="13">
        <f>IF(OR(E56="",F56=""),"",F56/E56)</f>
        <v/>
      </c>
      <c r="I56" s="13">
        <f>IF(OR(E56="",G56=""),"",G56/E56)</f>
        <v/>
      </c>
      <c r="J56" s="13">
        <f>IF(OR(H56="",I56=""),"",H56+I56)</f>
        <v/>
      </c>
      <c r="K56" s="14" t="inlineStr">
        <is>
          <t>Ford, Volkswagen, BMW, Mercedes, Toyota</t>
        </is>
      </c>
      <c r="L56" s="14" t="inlineStr">
        <is>
          <t>Turbochargers, e-turbo systems, electric compressors</t>
        </is>
      </c>
      <c r="M56" s="11" t="inlineStr">
        <is>
          <t>Q3 2025</t>
        </is>
      </c>
      <c r="N56" s="14" t="inlineStr">
        <is>
          <t>SEC 10-Q</t>
        </is>
      </c>
    </row>
    <row r="57">
      <c r="A57" s="3" t="n">
        <v>969132880</v>
      </c>
      <c r="B57" s="4" t="inlineStr">
        <is>
          <t>ALLISON TRANSMISSION HOLDINGS INC</t>
        </is>
      </c>
      <c r="C57" s="5" t="n">
        <v>1</v>
      </c>
      <c r="D57" s="5" t="inlineStr">
        <is>
          <t>Q3 2025</t>
        </is>
      </c>
      <c r="E57" s="6" t="n">
        <v>2429000000</v>
      </c>
      <c r="F57" s="6" t="n">
        <v>253000000</v>
      </c>
      <c r="G57" s="6" t="n">
        <v>757000000</v>
      </c>
      <c r="H57" s="7">
        <f>IF(OR(E57="",F57=""),"",F57/E57)</f>
        <v/>
      </c>
      <c r="I57" s="7">
        <f>IF(OR(E57="",G57=""),"",G57/E57)</f>
        <v/>
      </c>
      <c r="J57" s="7">
        <f>IF(OR(H57="",I57=""),"",H57+I57)</f>
        <v/>
      </c>
      <c r="K57" s="8" t="inlineStr">
        <is>
          <t>Volvo</t>
        </is>
      </c>
      <c r="L57" s="8" t="inlineStr">
        <is>
          <t>Fully-automatic transmissions for medium/heavy trucks and buses</t>
        </is>
      </c>
      <c r="M57" s="5" t="inlineStr">
        <is>
          <t>Q3 2025</t>
        </is>
      </c>
      <c r="N57" s="8" t="inlineStr">
        <is>
          <t>SEC 10-Q</t>
        </is>
      </c>
    </row>
    <row r="58">
      <c r="A58" s="9" t="n">
        <v>353945744</v>
      </c>
      <c r="B58" s="10" t="inlineStr">
        <is>
          <t>AB SKF</t>
        </is>
      </c>
      <c r="C58" s="11" t="n">
        <v>1</v>
      </c>
      <c r="D58" s="11" t="inlineStr">
        <is>
          <t>Q4 2025</t>
        </is>
      </c>
      <c r="E58" s="12" t="n">
        <v>2336481329</v>
      </c>
      <c r="F58" s="12" t="n">
        <v>335545477</v>
      </c>
      <c r="G58" s="12" t="n">
        <v>166230612</v>
      </c>
      <c r="H58" s="13">
        <f>IF(OR(E58="",F58=""),"",F58/E58)</f>
        <v/>
      </c>
      <c r="I58" s="13">
        <f>IF(OR(E58="",G58=""),"",G58/E58)</f>
        <v/>
      </c>
      <c r="J58" s="13">
        <f>IF(OR(H58="",I58=""),"",H58+I58)</f>
        <v/>
      </c>
      <c r="K58" s="14" t="inlineStr">
        <is>
          <t>Volkswagen, BMW, Ford, General Motors</t>
        </is>
      </c>
      <c r="L58" s="14" t="inlineStr">
        <is>
          <t>Wheel-end bearings, hub bearing units, seals, electric motor bearings</t>
        </is>
      </c>
      <c r="M58" s="11" t="inlineStr">
        <is>
          <t>Q4 2025</t>
        </is>
      </c>
      <c r="N58" s="14" t="inlineStr">
        <is>
          <t>Yahoo Finance (SKF-B.ST)</t>
        </is>
      </c>
    </row>
    <row r="59">
      <c r="A59" s="3" t="n">
        <v>436854350</v>
      </c>
      <c r="B59" s="4" t="inlineStr">
        <is>
          <t>PIRELLI &amp; CO SPA</t>
        </is>
      </c>
      <c r="C59" s="5" t="n">
        <v>1</v>
      </c>
      <c r="D59" s="5" t="inlineStr">
        <is>
          <t>Q3 2025</t>
        </is>
      </c>
      <c r="E59" s="6" t="n">
        <v>1944548910</v>
      </c>
      <c r="F59" s="6" t="n"/>
      <c r="G59" s="6" t="n">
        <v>102448133</v>
      </c>
      <c r="H59" s="7">
        <f>IF(OR(E59="",F59=""),"",F59/E59)</f>
        <v/>
      </c>
      <c r="I59" s="7">
        <f>IF(OR(E59="",G59=""),"",G59/E59)</f>
        <v/>
      </c>
      <c r="J59" s="7">
        <f>IF(OR(H59="",I59=""),"",H59+I59)</f>
        <v/>
      </c>
      <c r="K59" s="8" t="inlineStr">
        <is>
          <t>BMW, Mercedes, Audi</t>
        </is>
      </c>
      <c r="L59" s="8" t="inlineStr">
        <is>
          <t>High-performance tires, run-flat tires, EV tires, motorsport tires</t>
        </is>
      </c>
      <c r="M59" s="5" t="inlineStr">
        <is>
          <t>Q3 2025</t>
        </is>
      </c>
      <c r="N59" s="8" t="inlineStr">
        <is>
          <t>Yahoo Finance (PIRC.MI)</t>
        </is>
      </c>
    </row>
    <row r="60">
      <c r="A60" s="9" t="n">
        <v>209831544</v>
      </c>
      <c r="B60" s="10" t="inlineStr">
        <is>
          <t>LINAMAR CORP</t>
        </is>
      </c>
      <c r="C60" s="11" t="n">
        <v>1</v>
      </c>
      <c r="D60" s="11" t="inlineStr">
        <is>
          <t>Q4 2025</t>
        </is>
      </c>
      <c r="E60" s="12" t="n">
        <v>1832488822</v>
      </c>
      <c r="F60" s="12" t="n">
        <v>109150524</v>
      </c>
      <c r="G60" s="12" t="n">
        <v>145311826</v>
      </c>
      <c r="H60" s="13">
        <f>IF(OR(E60="",F60=""),"",F60/E60)</f>
        <v/>
      </c>
      <c r="I60" s="13">
        <f>IF(OR(E60="",G60=""),"",G60/E60)</f>
        <v/>
      </c>
      <c r="J60" s="13">
        <f>IF(OR(H60="",I60=""),"",H60+I60)</f>
        <v/>
      </c>
      <c r="K60" s="14" t="inlineStr">
        <is>
          <t>General Motors, Ford, Stellantis, Volkswagen, Tesla</t>
        </is>
      </c>
      <c r="L60" s="14" t="inlineStr">
        <is>
          <t>Powertrain components, driveline systems, EV structural components, precision machined parts</t>
        </is>
      </c>
      <c r="M60" s="11" t="inlineStr">
        <is>
          <t>Q4 2025</t>
        </is>
      </c>
      <c r="N60" s="14" t="inlineStr">
        <is>
          <t>Yahoo Finance (LNR.TO)</t>
        </is>
      </c>
    </row>
    <row r="61">
      <c r="A61" s="3" t="n">
        <v>690565601</v>
      </c>
      <c r="B61" s="4" t="inlineStr">
        <is>
          <t>YOKOHAMA RUBBER CO LTD, THE</t>
        </is>
      </c>
      <c r="C61" s="5" t="n">
        <v>1</v>
      </c>
      <c r="D61" s="5" t="inlineStr">
        <is>
          <t>Q2 2024</t>
        </is>
      </c>
      <c r="E61" s="6" t="n">
        <v>1707897687</v>
      </c>
      <c r="F61" s="6" t="n">
        <v>413504723</v>
      </c>
      <c r="G61" s="6" t="n">
        <v>184651290</v>
      </c>
      <c r="H61" s="7">
        <f>IF(OR(E61="",F61=""),"",F61/E61)</f>
        <v/>
      </c>
      <c r="I61" s="7">
        <f>IF(OR(E61="",G61=""),"",G61/E61)</f>
        <v/>
      </c>
      <c r="J61" s="7">
        <f>IF(OR(H61="",I61=""),"",H61+I61)</f>
        <v/>
      </c>
      <c r="K61" s="8" t="inlineStr">
        <is>
          <t>Toyota, Mazda, Mercedes</t>
        </is>
      </c>
      <c r="L61" s="8" t="inlineStr">
        <is>
          <t>Passenger tires, SUV tires, winter tires, industrial hoses</t>
        </is>
      </c>
      <c r="M61" s="5" t="inlineStr">
        <is>
          <t>Q2 2024</t>
        </is>
      </c>
      <c r="N61" s="8" t="inlineStr">
        <is>
          <t>Yahoo Finance (5101.T)</t>
        </is>
      </c>
    </row>
    <row r="62">
      <c r="A62" s="9" t="n">
        <v>654532019</v>
      </c>
      <c r="B62" s="10" t="inlineStr">
        <is>
          <t>FUYAO GLASS INDUSTRY GROUP CO LTD</t>
        </is>
      </c>
      <c r="C62" s="11" t="n">
        <v>1</v>
      </c>
      <c r="D62" s="11" t="inlineStr">
        <is>
          <t>Q2 2025</t>
        </is>
      </c>
      <c r="E62" s="12" t="n">
        <v>1472036312</v>
      </c>
      <c r="F62" s="12" t="n">
        <v>-23083476</v>
      </c>
      <c r="G62" s="12" t="n">
        <v>358963173</v>
      </c>
      <c r="H62" s="13">
        <f>IF(OR(E62="",F62=""),"",F62/E62)</f>
        <v/>
      </c>
      <c r="I62" s="13">
        <f>IF(OR(E62="",G62=""),"",G62/E62)</f>
        <v/>
      </c>
      <c r="J62" s="13">
        <f>IF(OR(H62="",I62=""),"",H62+I62)</f>
        <v/>
      </c>
      <c r="K62" s="14" t="inlineStr">
        <is>
          <t>Volkswagen, General Motors, Ford, Toyota, Tesla, Stellantis</t>
        </is>
      </c>
      <c r="L62" s="14" t="inlineStr">
        <is>
          <t>Windshields, side windows, rear windows, laminated safety glass</t>
        </is>
      </c>
      <c r="M62" s="11" t="inlineStr">
        <is>
          <t>Q2 2025</t>
        </is>
      </c>
      <c r="N62" s="14" t="inlineStr">
        <is>
          <t>Yahoo Finance (3606.HK)</t>
        </is>
      </c>
    </row>
    <row r="63">
      <c r="A63" s="3" t="n">
        <v>687784926</v>
      </c>
      <c r="B63" s="4" t="inlineStr">
        <is>
          <t>HYUNDAI WIA CORP</t>
        </is>
      </c>
      <c r="C63" s="5" t="n">
        <v>1</v>
      </c>
      <c r="D63" s="5" t="inlineStr">
        <is>
          <t>Q3 2025</t>
        </is>
      </c>
      <c r="E63" s="6" t="n">
        <v>1426320205</v>
      </c>
      <c r="F63" s="6" t="n">
        <v>-15091901</v>
      </c>
      <c r="G63" s="6" t="n">
        <v>34437161</v>
      </c>
      <c r="H63" s="7">
        <f>IF(OR(E63="",F63=""),"",F63/E63)</f>
        <v/>
      </c>
      <c r="I63" s="7">
        <f>IF(OR(E63="",G63=""),"",G63/E63)</f>
        <v/>
      </c>
      <c r="J63" s="7">
        <f>IF(OR(H63="",I63=""),"",H63+I63)</f>
        <v/>
      </c>
      <c r="K63" s="8" t="inlineStr">
        <is>
          <t>Hyundai, Kia, General Motors, Renault, Nissan, Volvo</t>
        </is>
      </c>
      <c r="L63" s="8" t="inlineStr">
        <is>
          <t>Engine systems, drivetrain, axles, machining systems</t>
        </is>
      </c>
      <c r="M63" s="5" t="inlineStr">
        <is>
          <t>Q3 2025</t>
        </is>
      </c>
      <c r="N63" s="8" t="inlineStr">
        <is>
          <t>Yahoo Finance (011210.KS)</t>
        </is>
      </c>
    </row>
    <row r="64">
      <c r="A64" s="9" t="n">
        <v>556879252</v>
      </c>
      <c r="B64" s="10" t="inlineStr">
        <is>
          <t>GENTHERM INC</t>
        </is>
      </c>
      <c r="C64" s="11" t="n">
        <v>1</v>
      </c>
      <c r="D64" s="11" t="inlineStr">
        <is>
          <t>FY2024</t>
        </is>
      </c>
      <c r="E64" s="12" t="n">
        <v>1108900000</v>
      </c>
      <c r="F64" s="12" t="n">
        <v>107600000</v>
      </c>
      <c r="G64" s="12" t="n">
        <v>72400000</v>
      </c>
      <c r="H64" s="13">
        <f>IF(OR(E64="",F64=""),"",F64/E64)</f>
        <v/>
      </c>
      <c r="I64" s="13">
        <f>IF(OR(E64="",G64=""),"",G64/E64)</f>
        <v/>
      </c>
      <c r="J64" s="13">
        <f>IF(OR(H64="",I64=""),"",H64+I64)</f>
        <v/>
      </c>
      <c r="K64" s="14" t="inlineStr">
        <is>
          <t>Ford, General Motors, Toyota, Stellantis, Tesla</t>
        </is>
      </c>
      <c r="L64" s="14" t="inlineStr">
        <is>
          <t>Heated/cooled/ventilated seats, battery thermal management, steering wheel heaters</t>
        </is>
      </c>
      <c r="M64" s="11" t="inlineStr">
        <is>
          <t>FY2024</t>
        </is>
      </c>
      <c r="N64" s="14" t="inlineStr">
        <is>
          <t>Gentherm 2024 10-K</t>
        </is>
      </c>
    </row>
    <row r="65">
      <c r="A65" s="3" t="n">
        <v>690557053</v>
      </c>
      <c r="B65" s="4" t="inlineStr">
        <is>
          <t>TOYO TIRE CORPORATION</t>
        </is>
      </c>
      <c r="C65" s="5" t="n">
        <v>1</v>
      </c>
      <c r="D65" s="5" t="inlineStr">
        <is>
          <t>Q2 2024</t>
        </is>
      </c>
      <c r="E65" s="6" t="n">
        <v>913485913</v>
      </c>
      <c r="F65" s="6" t="n"/>
      <c r="G65" s="6" t="n">
        <v>135166422</v>
      </c>
      <c r="H65" s="7">
        <f>IF(OR(E65="",F65=""),"",F65/E65)</f>
        <v/>
      </c>
      <c r="I65" s="7">
        <f>IF(OR(E65="",G65=""),"",G65/E65)</f>
        <v/>
      </c>
      <c r="J65" s="7">
        <f>IF(OR(H65="",I65=""),"",H65+I65)</f>
        <v/>
      </c>
      <c r="K65" s="8" t="inlineStr">
        <is>
          <t>Toyota, Mazda, Audi, Ford</t>
        </is>
      </c>
      <c r="L65" s="8" t="inlineStr">
        <is>
          <t>Passenger tires, light truck tires, performance tires</t>
        </is>
      </c>
      <c r="M65" s="5" t="inlineStr">
        <is>
          <t>Q2 2024</t>
        </is>
      </c>
      <c r="N65" s="8" t="inlineStr">
        <is>
          <t>Yahoo Finance (5105.T)</t>
        </is>
      </c>
    </row>
    <row r="66">
      <c r="A66" s="9" t="n">
        <v>252027883</v>
      </c>
      <c r="B66" s="10" t="inlineStr">
        <is>
          <t>MARTINREA INTERNATIONAL INC</t>
        </is>
      </c>
      <c r="C66" s="11" t="n">
        <v>1</v>
      </c>
      <c r="D66" s="11" t="inlineStr">
        <is>
          <t>Q3 2025</t>
        </is>
      </c>
      <c r="E66" s="12" t="n">
        <v>867551417</v>
      </c>
      <c r="F66" s="12" t="n">
        <v>65265194</v>
      </c>
      <c r="G66" s="12" t="n">
        <v>47480697</v>
      </c>
      <c r="H66" s="13">
        <f>IF(OR(E66="",F66=""),"",F66/E66)</f>
        <v/>
      </c>
      <c r="I66" s="13">
        <f>IF(OR(E66="",G66=""),"",G66/E66)</f>
        <v/>
      </c>
      <c r="J66" s="13">
        <f>IF(OR(H66="",I66=""),"",H66+I66)</f>
        <v/>
      </c>
      <c r="K66" s="14" t="inlineStr">
        <is>
          <t>General Motors, Ford, Stellantis, BMW, Volkswagen</t>
        </is>
      </c>
      <c r="L66" s="14" t="inlineStr">
        <is>
          <t>Metal stampings, structural assemblies, fluid management modules, bumper systems</t>
        </is>
      </c>
      <c r="M66" s="11" t="inlineStr">
        <is>
          <t>Q3 2025</t>
        </is>
      </c>
      <c r="N66" s="14" t="inlineStr">
        <is>
          <t>Yahoo Finance (MRE.TO)</t>
        </is>
      </c>
    </row>
    <row r="67">
      <c r="A67" s="3" t="n">
        <v>690547401</v>
      </c>
      <c r="B67" s="4" t="inlineStr">
        <is>
          <t>KYB CORP</t>
        </is>
      </c>
      <c r="C67" s="5" t="n">
        <v>1</v>
      </c>
      <c r="D67" s="5" t="inlineStr">
        <is>
          <t>Q3 2024</t>
        </is>
      </c>
      <c r="E67" s="6" t="n">
        <v>655365370</v>
      </c>
      <c r="F67" s="6" t="n">
        <v>94557974</v>
      </c>
      <c r="G67" s="6" t="n">
        <v>9945236</v>
      </c>
      <c r="H67" s="7">
        <f>IF(OR(E67="",F67=""),"",F67/E67)</f>
        <v/>
      </c>
      <c r="I67" s="7">
        <f>IF(OR(E67="",G67=""),"",G67/E67)</f>
        <v/>
      </c>
      <c r="J67" s="7">
        <f>IF(OR(H67="",I67=""),"",H67+I67)</f>
        <v/>
      </c>
      <c r="K67" s="8" t="inlineStr">
        <is>
          <t>Toyota, Honda, Nissan, Ford, Volkswagen, Subaru</t>
        </is>
      </c>
      <c r="L67" s="8" t="inlineStr">
        <is>
          <t>Shock absorbers, struts, steering gear boxes, EPS systems</t>
        </is>
      </c>
      <c r="M67" s="5" t="inlineStr">
        <is>
          <t>Q3 2024</t>
        </is>
      </c>
      <c r="N67" s="8" t="inlineStr">
        <is>
          <t>Yahoo Finance (7242.T)</t>
        </is>
      </c>
    </row>
    <row r="68">
      <c r="A68" s="9" t="n">
        <v>687735407</v>
      </c>
      <c r="B68" s="10" t="inlineStr">
        <is>
          <t>HANKOOK &amp; COMPANY CO LTD</t>
        </is>
      </c>
      <c r="C68" s="11" t="n">
        <v>1</v>
      </c>
      <c r="D68" s="11" t="inlineStr">
        <is>
          <t>Q3 2025</t>
        </is>
      </c>
      <c r="E68" s="12" t="n">
        <v>255000250</v>
      </c>
      <c r="F68" s="12" t="n">
        <v>8343330</v>
      </c>
      <c r="G68" s="12" t="n">
        <v>90850820</v>
      </c>
      <c r="H68" s="13">
        <f>IF(OR(E68="",F68=""),"",F68/E68)</f>
        <v/>
      </c>
      <c r="I68" s="13">
        <f>IF(OR(E68="",G68=""),"",G68/E68)</f>
        <v/>
      </c>
      <c r="J68" s="13">
        <f>IF(OR(H68="",I68=""),"",H68+I68)</f>
        <v/>
      </c>
      <c r="K68" s="14" t="inlineStr">
        <is>
          <t>Tesla, BMW, Hyundai, Kia</t>
        </is>
      </c>
      <c r="L68" s="14" t="inlineStr">
        <is>
          <t>Passenger tires, performance tires, EV-specific tires</t>
        </is>
      </c>
      <c r="M68" s="11" t="inlineStr">
        <is>
          <t>Q3 2025</t>
        </is>
      </c>
      <c r="N68" s="14" t="inlineStr">
        <is>
          <t>Yahoo Finance (000240.KS)</t>
        </is>
      </c>
    </row>
    <row r="69">
      <c r="A69" s="15" t="n">
        <v>650141922</v>
      </c>
      <c r="B69" s="16" t="inlineStr">
        <is>
          <t>HINDALCO INDUSTRIES LTD</t>
        </is>
      </c>
      <c r="C69" s="17" t="n">
        <v>2</v>
      </c>
      <c r="D69" s="17" t="inlineStr">
        <is>
          <t>Q4 2025</t>
        </is>
      </c>
      <c r="E69" s="18" t="n">
        <v>665210000000</v>
      </c>
      <c r="F69" s="18" t="n"/>
      <c r="G69" s="18" t="n">
        <v>57550000000</v>
      </c>
      <c r="H69" s="19">
        <f>IF(OR(E69="",F69=""),"",F69/E69)</f>
        <v/>
      </c>
      <c r="I69" s="19">
        <f>IF(OR(E69="",G69=""),"",G69/E69)</f>
        <v/>
      </c>
      <c r="J69" s="19">
        <f>IF(OR(H69="",I69=""),"",H69+I69)</f>
        <v/>
      </c>
      <c r="K69" s="20" t="inlineStr">
        <is>
          <t>Ford, General Motors, BMW</t>
        </is>
      </c>
      <c r="L69" s="20" t="inlineStr">
        <is>
          <t>Aluminum auto body sheet, flat-rolled aluminum for closures</t>
        </is>
      </c>
      <c r="M69" s="17" t="inlineStr">
        <is>
          <t>Q4 2025</t>
        </is>
      </c>
      <c r="N69" s="20" t="inlineStr">
        <is>
          <t>Yahoo Finance (HINDALCO.NS)</t>
        </is>
      </c>
    </row>
    <row r="70">
      <c r="A70" s="9" t="n">
        <v>650049299</v>
      </c>
      <c r="B70" s="10" t="inlineStr">
        <is>
          <t>BHARAT FORGE LTD</t>
        </is>
      </c>
      <c r="C70" s="11" t="n">
        <v>2</v>
      </c>
      <c r="D70" s="11" t="inlineStr">
        <is>
          <t>Q4 2025</t>
        </is>
      </c>
      <c r="E70" s="12" t="n">
        <v>43429340000</v>
      </c>
      <c r="F70" s="12" t="n"/>
      <c r="G70" s="12" t="n">
        <v>5010590000</v>
      </c>
      <c r="H70" s="13">
        <f>IF(OR(E70="",F70=""),"",F70/E70)</f>
        <v/>
      </c>
      <c r="I70" s="13">
        <f>IF(OR(E70="",G70=""),"",G70/E70)</f>
        <v/>
      </c>
      <c r="J70" s="13">
        <f>IF(OR(H70="",I70=""),"",H70+I70)</f>
        <v/>
      </c>
      <c r="K70" s="14" t="inlineStr">
        <is>
          <t>Volkswagen, Mercedes, Volvo, General Motors, Stellantis</t>
        </is>
      </c>
      <c r="L70" s="14" t="inlineStr">
        <is>
          <t>Forged crankshafts, connecting rods, front axle beams, knuckles</t>
        </is>
      </c>
      <c r="M70" s="11" t="inlineStr">
        <is>
          <t>Q4 2025</t>
        </is>
      </c>
      <c r="N70" s="14" t="inlineStr">
        <is>
          <t>Yahoo Finance (BHARATFORG.NS)</t>
        </is>
      </c>
    </row>
    <row r="71">
      <c r="A71" s="15" t="n">
        <v>315000554</v>
      </c>
      <c r="B71" s="16" t="inlineStr">
        <is>
          <t>BASF SE</t>
        </is>
      </c>
      <c r="C71" s="17" t="n">
        <v>2</v>
      </c>
      <c r="D71" s="17" t="inlineStr">
        <is>
          <t>Q4 2025</t>
        </is>
      </c>
      <c r="E71" s="18" t="n">
        <v>16081374639</v>
      </c>
      <c r="F71" s="18" t="n">
        <v>2535243440</v>
      </c>
      <c r="G71" s="18" t="n">
        <v>916905403</v>
      </c>
      <c r="H71" s="19">
        <f>IF(OR(E71="",F71=""),"",F71/E71)</f>
        <v/>
      </c>
      <c r="I71" s="19">
        <f>IF(OR(E71="",G71=""),"",G71/E71)</f>
        <v/>
      </c>
      <c r="J71" s="19">
        <f>IF(OR(H71="",I71=""),"",H71+I71)</f>
        <v/>
      </c>
      <c r="K71" s="20" t="inlineStr">
        <is>
          <t>Mercedes, Volkswagen, Toyota, Tesla</t>
        </is>
      </c>
      <c r="L71" s="20" t="inlineStr">
        <is>
          <t>Automotive coatings, engineering plastics, battery materials, foam</t>
        </is>
      </c>
      <c r="M71" s="17" t="inlineStr">
        <is>
          <t>Q4 2025</t>
        </is>
      </c>
      <c r="N71" s="20" t="inlineStr">
        <is>
          <t>Yahoo Finance (BAS.DE)</t>
        </is>
      </c>
    </row>
    <row r="72">
      <c r="A72" s="9" t="n">
        <v>650086143</v>
      </c>
      <c r="B72" s="10" t="inlineStr">
        <is>
          <t>SUNDRAM FASTENERS LTD</t>
        </is>
      </c>
      <c r="C72" s="11" t="n">
        <v>2</v>
      </c>
      <c r="D72" s="11" t="inlineStr">
        <is>
          <t>Q4 2025</t>
        </is>
      </c>
      <c r="E72" s="12" t="n">
        <v>15411100000</v>
      </c>
      <c r="F72" s="12" t="n"/>
      <c r="G72" s="12" t="n">
        <v>1827600000</v>
      </c>
      <c r="H72" s="13">
        <f>IF(OR(E72="",F72=""),"",F72/E72)</f>
        <v/>
      </c>
      <c r="I72" s="13">
        <f>IF(OR(E72="",G72=""),"",G72/E72)</f>
        <v/>
      </c>
      <c r="J72" s="13">
        <f>IF(OR(H72="",I72=""),"",H72+I72)</f>
        <v/>
      </c>
      <c r="K72" s="14" t="inlineStr">
        <is>
          <t>General Motors, Ford, Volkswagen, Renault, Volvo</t>
        </is>
      </c>
      <c r="L72" s="14" t="inlineStr">
        <is>
          <t>High-tensile fasteners, powder metal components, castings</t>
        </is>
      </c>
      <c r="M72" s="11" t="inlineStr">
        <is>
          <t>Q4 2025</t>
        </is>
      </c>
      <c r="N72" s="14" t="inlineStr">
        <is>
          <t>Yahoo Finance (SUNDRMFAST.NS)</t>
        </is>
      </c>
    </row>
    <row r="73">
      <c r="A73" s="15" t="n">
        <v>177220647</v>
      </c>
      <c r="B73" s="16" t="inlineStr">
        <is>
          <t>AMPHENOL CORP</t>
        </is>
      </c>
      <c r="C73" s="17" t="n">
        <v>2</v>
      </c>
      <c r="D73" s="17" t="inlineStr">
        <is>
          <t>FY2024</t>
        </is>
      </c>
      <c r="E73" s="18" t="n">
        <v>14840000000</v>
      </c>
      <c r="F73" s="18" t="n">
        <v>720000000</v>
      </c>
      <c r="G73" s="18" t="n">
        <v>3010000000</v>
      </c>
      <c r="H73" s="19">
        <f>IF(OR(E73="",F73=""),"",F73/E73)</f>
        <v/>
      </c>
      <c r="I73" s="19">
        <f>IF(OR(E73="",G73=""),"",G73/E73)</f>
        <v/>
      </c>
      <c r="J73" s="19">
        <f>IF(OR(H73="",I73=""),"",H73+I73)</f>
        <v/>
      </c>
      <c r="K73" s="20" t="inlineStr">
        <is>
          <t>General Motors, Audi, BMW, Nissan</t>
        </is>
      </c>
      <c r="L73" s="20" t="inlineStr">
        <is>
          <t>High-voltage EV connectors, sensor connectors, automotive antenna assemblies</t>
        </is>
      </c>
      <c r="M73" s="17" t="inlineStr">
        <is>
          <t>FY2024</t>
        </is>
      </c>
      <c r="N73" s="20" t="inlineStr">
        <is>
          <t>Amphenol 2024 10-K</t>
        </is>
      </c>
    </row>
    <row r="74">
      <c r="A74" s="9" t="n">
        <v>480000538</v>
      </c>
      <c r="B74" s="10" t="inlineStr">
        <is>
          <t>SIKA AG</t>
        </is>
      </c>
      <c r="C74" s="11" t="n">
        <v>2</v>
      </c>
      <c r="D74" s="11" t="inlineStr">
        <is>
          <t>FY2024</t>
        </is>
      </c>
      <c r="E74" s="12" t="n">
        <v>12150000000</v>
      </c>
      <c r="F74" s="12" t="n">
        <v>2040000000</v>
      </c>
      <c r="G74" s="12" t="n">
        <v>1740000000</v>
      </c>
      <c r="H74" s="13">
        <f>IF(OR(E74="",F74=""),"",F74/E74)</f>
        <v/>
      </c>
      <c r="I74" s="13">
        <f>IF(OR(E74="",G74=""),"",G74/E74)</f>
        <v/>
      </c>
      <c r="J74" s="13">
        <f>IF(OR(H74="",I74=""),"",H74+I74)</f>
        <v/>
      </c>
      <c r="K74" s="14" t="inlineStr">
        <is>
          <t>Volkswagen, Stellantis, Toyota</t>
        </is>
      </c>
      <c r="L74" s="14" t="inlineStr">
        <is>
          <t>Structural adhesives, acoustic baffles, seam sealants, battery adhesives for EV</t>
        </is>
      </c>
      <c r="M74" s="11" t="inlineStr">
        <is>
          <t>FY2024</t>
        </is>
      </c>
      <c r="N74" s="14" t="inlineStr">
        <is>
          <t>Sika 2024 Annual Report (CHF ~11B)</t>
        </is>
      </c>
    </row>
    <row r="75">
      <c r="A75" s="15" t="n">
        <v>687739466</v>
      </c>
      <c r="B75" s="16" t="inlineStr">
        <is>
          <t>HANWHA CORP</t>
        </is>
      </c>
      <c r="C75" s="17" t="n">
        <v>2</v>
      </c>
      <c r="D75" s="17" t="inlineStr">
        <is>
          <t>Q3 2025</t>
        </is>
      </c>
      <c r="E75" s="18" t="n">
        <v>11789444653</v>
      </c>
      <c r="F75" s="18" t="n">
        <v>424972002</v>
      </c>
      <c r="G75" s="18" t="n">
        <v>890975627</v>
      </c>
      <c r="H75" s="19">
        <f>IF(OR(E75="",F75=""),"",F75/E75)</f>
        <v/>
      </c>
      <c r="I75" s="19">
        <f>IF(OR(E75="",G75=""),"",G75/E75)</f>
        <v/>
      </c>
      <c r="J75" s="19">
        <f>IF(OR(H75="",I75=""),"",H75+I75)</f>
        <v/>
      </c>
      <c r="K75" s="20" t="inlineStr">
        <is>
          <t>Hyundai, BMW, Kia, Mercedes, Volkswagen, General Motors</t>
        </is>
      </c>
      <c r="L75" s="20" t="inlineStr">
        <is>
          <t>Automotive steel, industrial components, auto parts</t>
        </is>
      </c>
      <c r="M75" s="17" t="inlineStr">
        <is>
          <t>Q3 2025</t>
        </is>
      </c>
      <c r="N75" s="20" t="inlineStr">
        <is>
          <t>Yahoo Finance (000880.KS)</t>
        </is>
      </c>
    </row>
    <row r="76">
      <c r="A76" s="9" t="n">
        <v>918030230</v>
      </c>
      <c r="B76" s="10" t="inlineStr">
        <is>
          <t>SUPRAJIT ENGINEERING LTD</t>
        </is>
      </c>
      <c r="C76" s="11" t="n">
        <v>2</v>
      </c>
      <c r="D76" s="11" t="inlineStr">
        <is>
          <t>Q4 2025</t>
        </is>
      </c>
      <c r="E76" s="12" t="n">
        <v>9789570000</v>
      </c>
      <c r="F76" s="12" t="n"/>
      <c r="G76" s="12" t="n">
        <v>556040000</v>
      </c>
      <c r="H76" s="13">
        <f>IF(OR(E76="",F76=""),"",F76/E76)</f>
        <v/>
      </c>
      <c r="I76" s="13">
        <f>IF(OR(E76="",G76=""),"",G76/E76)</f>
        <v/>
      </c>
      <c r="J76" s="13">
        <f>IF(OR(H76="",I76=""),"",H76+I76)</f>
        <v/>
      </c>
      <c r="K76" s="14" t="inlineStr">
        <is>
          <t>BMW</t>
        </is>
      </c>
      <c r="L76" s="14" t="inlineStr">
        <is>
          <t>Control cables, parking brake cables, shift cables</t>
        </is>
      </c>
      <c r="M76" s="11" t="inlineStr">
        <is>
          <t>Q4 2025</t>
        </is>
      </c>
      <c r="N76" s="14" t="inlineStr">
        <is>
          <t>Yahoo Finance (SUPRAJIT.NS)</t>
        </is>
      </c>
    </row>
    <row r="77">
      <c r="A77" s="15" t="n">
        <v>518896162</v>
      </c>
      <c r="B77" s="16" t="inlineStr">
        <is>
          <t>KONGSBERG AUTOMOTIVE ASA</t>
        </is>
      </c>
      <c r="C77" s="17" t="n">
        <v>2</v>
      </c>
      <c r="D77" s="17" t="inlineStr">
        <is>
          <t>Q4 2025</t>
        </is>
      </c>
      <c r="E77" s="18" t="n">
        <v>9593000000</v>
      </c>
      <c r="F77" s="18" t="n"/>
      <c r="G77" s="18" t="n">
        <v>1646000000</v>
      </c>
      <c r="H77" s="19">
        <f>IF(OR(E77="",F77=""),"",F77/E77)</f>
        <v/>
      </c>
      <c r="I77" s="19">
        <f>IF(OR(E77="",G77=""),"",G77/E77)</f>
        <v/>
      </c>
      <c r="J77" s="19">
        <f>IF(OR(H77="",I77=""),"",H77+I77)</f>
        <v/>
      </c>
      <c r="K77" s="20" t="inlineStr">
        <is>
          <t>Ford, Nissan</t>
        </is>
      </c>
      <c r="L77" s="20" t="inlineStr">
        <is>
          <t>Gear shift cables, seating comfort systems, fluid/air management</t>
        </is>
      </c>
      <c r="M77" s="17" t="inlineStr">
        <is>
          <t>Q4 2025</t>
        </is>
      </c>
      <c r="N77" s="20" t="inlineStr">
        <is>
          <t>Yahoo Finance (KOG.OL)</t>
        </is>
      </c>
    </row>
    <row r="78">
      <c r="A78" s="9" t="n">
        <v>690551346</v>
      </c>
      <c r="B78" s="10" t="inlineStr">
        <is>
          <t>TDK CORP</t>
        </is>
      </c>
      <c r="C78" s="11" t="n">
        <v>2</v>
      </c>
      <c r="D78" s="11" t="inlineStr">
        <is>
          <t>FY Mar2025</t>
        </is>
      </c>
      <c r="E78" s="12" t="n">
        <v>8720000000</v>
      </c>
      <c r="F78" s="12" t="n">
        <v>440000000</v>
      </c>
      <c r="G78" s="12" t="n">
        <v>540000000</v>
      </c>
      <c r="H78" s="13">
        <f>IF(OR(E78="",F78=""),"",F78/E78)</f>
        <v/>
      </c>
      <c r="I78" s="13">
        <f>IF(OR(E78="",G78=""),"",G78/E78)</f>
        <v/>
      </c>
      <c r="J78" s="13">
        <f>IF(OR(H78="",I78=""),"",H78+I78)</f>
        <v/>
      </c>
      <c r="K78" s="14" t="inlineStr">
        <is>
          <t>Tesla, Toyota, Honda, General Motors, Volkswagen</t>
        </is>
      </c>
      <c r="L78" s="14" t="inlineStr">
        <is>
          <t>Ferrite cores, capacitors, EV battery management systems, sensors</t>
        </is>
      </c>
      <c r="M78" s="11" t="inlineStr">
        <is>
          <t>FY Mar2025</t>
        </is>
      </c>
      <c r="N78" s="14" t="inlineStr">
        <is>
          <t>TDK FY2024 Annual Report (JPY ~1.3T)</t>
        </is>
      </c>
    </row>
    <row r="79">
      <c r="A79" s="15" t="n">
        <v>544771496</v>
      </c>
      <c r="B79" s="16" t="inlineStr">
        <is>
          <t>ZHEJIANG SANHUA INTELLIGENT CONTROL</t>
        </is>
      </c>
      <c r="C79" s="17" t="n">
        <v>2</v>
      </c>
      <c r="D79" s="17" t="inlineStr">
        <is>
          <t>Q2 2025</t>
        </is>
      </c>
      <c r="E79" s="18" t="n">
        <v>8593336964</v>
      </c>
      <c r="F79" s="18" t="n">
        <v>-234081110</v>
      </c>
      <c r="G79" s="18" t="n">
        <v>1595070668</v>
      </c>
      <c r="H79" s="19">
        <f>IF(OR(E79="",F79=""),"",F79/E79)</f>
        <v/>
      </c>
      <c r="I79" s="19">
        <f>IF(OR(E79="",G79=""),"",G79/E79)</f>
        <v/>
      </c>
      <c r="J79" s="19">
        <f>IF(OR(H79="",I79=""),"",H79+I79)</f>
        <v/>
      </c>
      <c r="K79" s="20" t="inlineStr">
        <is>
          <t>Toyota, Volkswagen, Tesla</t>
        </is>
      </c>
      <c r="L79" s="20" t="inlineStr">
        <is>
          <t>EV thermal expansion valves, refrigerant valves, heat exchangers</t>
        </is>
      </c>
      <c r="M79" s="17" t="inlineStr">
        <is>
          <t>Q2 2025</t>
        </is>
      </c>
      <c r="N79" s="20" t="inlineStr">
        <is>
          <t>Yahoo Finance (002050.SZ)</t>
        </is>
      </c>
    </row>
    <row r="80">
      <c r="A80" s="9" t="n">
        <v>738162205</v>
      </c>
      <c r="B80" s="10" t="inlineStr">
        <is>
          <t>NEXANS SA</t>
        </is>
      </c>
      <c r="C80" s="11" t="n">
        <v>2</v>
      </c>
      <c r="D80" s="11" t="inlineStr">
        <is>
          <t>FY2024</t>
        </is>
      </c>
      <c r="E80" s="12" t="n">
        <v>8320000000</v>
      </c>
      <c r="F80" s="12" t="n">
        <v>430000000</v>
      </c>
      <c r="G80" s="12" t="n">
        <v>530000000</v>
      </c>
      <c r="H80" s="13">
        <f>IF(OR(E80="",F80=""),"",F80/E80)</f>
        <v/>
      </c>
      <c r="I80" s="13">
        <f>IF(OR(E80="",G80=""),"",G80/E80)</f>
        <v/>
      </c>
      <c r="J80" s="13">
        <f>IF(OR(H80="",I80=""),"",H80+I80)</f>
        <v/>
      </c>
      <c r="K80" s="14" t="inlineStr">
        <is>
          <t>Stellantis, Volkswagen, BMW, Mercedes</t>
        </is>
      </c>
      <c r="L80" s="14" t="inlineStr">
        <is>
          <t>High-voltage EV cables, low-voltage wiring harnesses, charging cables</t>
        </is>
      </c>
      <c r="M80" s="11" t="inlineStr">
        <is>
          <t>FY2024</t>
        </is>
      </c>
      <c r="N80" s="14" t="inlineStr">
        <is>
          <t>Nexans 2024 Annual Report (EUR ~€7.7B)</t>
        </is>
      </c>
    </row>
    <row r="81">
      <c r="A81" s="15" t="n">
        <v>690535018</v>
      </c>
      <c r="B81" s="16" t="inlineStr">
        <is>
          <t>KOBE STEEL LTD</t>
        </is>
      </c>
      <c r="C81" s="17" t="n">
        <v>2</v>
      </c>
      <c r="D81" s="17" t="inlineStr">
        <is>
          <t>FY Mar2025</t>
        </is>
      </c>
      <c r="E81" s="18" t="n">
        <v>8160000000</v>
      </c>
      <c r="F81" s="18" t="n">
        <v>430000000</v>
      </c>
      <c r="G81" s="18" t="n">
        <v>490000000</v>
      </c>
      <c r="H81" s="19">
        <f>IF(OR(E81="",F81=""),"",F81/E81)</f>
        <v/>
      </c>
      <c r="I81" s="19">
        <f>IF(OR(E81="",G81=""),"",G81/E81)</f>
        <v/>
      </c>
      <c r="J81" s="19">
        <f>IF(OR(H81="",I81=""),"",H81+I81)</f>
        <v/>
      </c>
      <c r="K81" s="20" t="inlineStr">
        <is>
          <t>Toyota, Nissan, Honda, Mazda, Subaru, General Motors</t>
        </is>
      </c>
      <c r="L81" s="20" t="inlineStr">
        <is>
          <t>Aluminum alloy sheet, high-strength steel wire rod, forged components</t>
        </is>
      </c>
      <c r="M81" s="17" t="inlineStr">
        <is>
          <t>FY Mar2025</t>
        </is>
      </c>
      <c r="N81" s="20" t="inlineStr">
        <is>
          <t>Kobe Steel FY2024 Annual Report (JPY ~1.22T)</t>
        </is>
      </c>
    </row>
    <row r="82">
      <c r="A82" s="9" t="n">
        <v>690538913</v>
      </c>
      <c r="B82" s="10" t="inlineStr">
        <is>
          <t>NITTO DENKO CORP</t>
        </is>
      </c>
      <c r="C82" s="11" t="n">
        <v>2</v>
      </c>
      <c r="D82" s="11" t="inlineStr">
        <is>
          <t>FY Mar2025</t>
        </is>
      </c>
      <c r="E82" s="12" t="n">
        <v>7950000000</v>
      </c>
      <c r="F82" s="12" t="n">
        <v>420000000</v>
      </c>
      <c r="G82" s="12" t="n">
        <v>870000000</v>
      </c>
      <c r="H82" s="13">
        <f>IF(OR(E82="",F82=""),"",F82/E82)</f>
        <v/>
      </c>
      <c r="I82" s="13">
        <f>IF(OR(E82="",G82=""),"",G82/E82)</f>
        <v/>
      </c>
      <c r="J82" s="13">
        <f>IF(OR(H82="",I82=""),"",H82+I82)</f>
        <v/>
      </c>
      <c r="K82" s="14" t="inlineStr">
        <is>
          <t>Toyota, Honda, Nissan, Tesla</t>
        </is>
      </c>
      <c r="L82" s="14" t="inlineStr">
        <is>
          <t>Masking films, window protection films, EV battery films, NVH tapes</t>
        </is>
      </c>
      <c r="M82" s="11" t="inlineStr">
        <is>
          <t>FY Mar2025</t>
        </is>
      </c>
      <c r="N82" s="14" t="inlineStr">
        <is>
          <t>Nitto Denko FY2024 Annual Report (JPY ~1.19T)</t>
        </is>
      </c>
    </row>
    <row r="83">
      <c r="A83" s="15" t="n">
        <v>1339472</v>
      </c>
      <c r="B83" s="16" t="inlineStr">
        <is>
          <t>HOWMET AEROSPACE INC</t>
        </is>
      </c>
      <c r="C83" s="17" t="n">
        <v>2</v>
      </c>
      <c r="D83" s="17" t="inlineStr">
        <is>
          <t>FY2024</t>
        </is>
      </c>
      <c r="E83" s="18" t="n">
        <v>7430000000</v>
      </c>
      <c r="F83" s="18" t="n">
        <v>300000000</v>
      </c>
      <c r="G83" s="18" t="n">
        <v>1600000000</v>
      </c>
      <c r="H83" s="19">
        <f>IF(OR(E83="",F83=""),"",F83/E83)</f>
        <v/>
      </c>
      <c r="I83" s="19">
        <f>IF(OR(E83="",G83=""),"",G83/E83)</f>
        <v/>
      </c>
      <c r="J83" s="19">
        <f>IF(OR(H83="",I83=""),"",H83+I83)</f>
        <v/>
      </c>
      <c r="K83" s="20" t="inlineStr">
        <is>
          <t>Ford, General Motors</t>
        </is>
      </c>
      <c r="L83" s="20" t="inlineStr">
        <is>
          <t>Automotive fasteners, multi-material fasteners, precision cast components</t>
        </is>
      </c>
      <c r="M83" s="17" t="inlineStr">
        <is>
          <t>FY2024</t>
        </is>
      </c>
      <c r="N83" s="20" t="inlineStr">
        <is>
          <t>Howmet Aerospace 2024 10-K</t>
        </is>
      </c>
    </row>
    <row r="84">
      <c r="A84" s="9" t="n">
        <v>690537899</v>
      </c>
      <c r="B84" s="10" t="inlineStr">
        <is>
          <t>OMRON CORPORATION</t>
        </is>
      </c>
      <c r="C84" s="11" t="n">
        <v>2</v>
      </c>
      <c r="D84" s="11" t="inlineStr">
        <is>
          <t>FY Mar2025</t>
        </is>
      </c>
      <c r="E84" s="12" t="n">
        <v>7060000000</v>
      </c>
      <c r="F84" s="12" t="n">
        <v>780000000</v>
      </c>
      <c r="G84" s="12" t="n">
        <v>280000000</v>
      </c>
      <c r="H84" s="13">
        <f>IF(OR(E84="",F84=""),"",F84/E84)</f>
        <v/>
      </c>
      <c r="I84" s="13">
        <f>IF(OR(E84="",G84=""),"",G84/E84)</f>
        <v/>
      </c>
      <c r="J84" s="13">
        <f>IF(OR(H84="",I84=""),"",H84+I84)</f>
        <v/>
      </c>
      <c r="K84" s="14" t="inlineStr">
        <is>
          <t>Toyota, Honda, Nissan</t>
        </is>
      </c>
      <c r="L84" s="14" t="inlineStr">
        <is>
          <t>Automotive relays, sensors, EV on-board charger components</t>
        </is>
      </c>
      <c r="M84" s="11" t="inlineStr">
        <is>
          <t>FY Mar2025</t>
        </is>
      </c>
      <c r="N84" s="14" t="inlineStr">
        <is>
          <t>OMRON FY2024 Annual Report (JPY ~1.05T)</t>
        </is>
      </c>
    </row>
    <row r="85">
      <c r="A85" s="15" t="n">
        <v>690535059</v>
      </c>
      <c r="B85" s="16" t="inlineStr">
        <is>
          <t>NSK LTD</t>
        </is>
      </c>
      <c r="C85" s="17" t="n">
        <v>2</v>
      </c>
      <c r="D85" s="17" t="inlineStr">
        <is>
          <t>FY Mar2025</t>
        </is>
      </c>
      <c r="E85" s="18" t="n">
        <v>6950000000</v>
      </c>
      <c r="F85" s="18" t="n">
        <v>460000000</v>
      </c>
      <c r="G85" s="18" t="n">
        <v>315000000</v>
      </c>
      <c r="H85" s="19">
        <f>IF(OR(E85="",F85=""),"",F85/E85)</f>
        <v/>
      </c>
      <c r="I85" s="19">
        <f>IF(OR(E85="",G85=""),"",G85/E85)</f>
        <v/>
      </c>
      <c r="J85" s="19">
        <f>IF(OR(H85="",I85=""),"",H85+I85)</f>
        <v/>
      </c>
      <c r="K85" s="20" t="inlineStr">
        <is>
          <t>Toyota, Honda, Nissan, Suzuki, Mazda, Subaru, General Motors</t>
        </is>
      </c>
      <c r="L85" s="20" t="inlineStr">
        <is>
          <t>Ball bearings, tapered roller bearings, EPS steering systems</t>
        </is>
      </c>
      <c r="M85" s="17" t="inlineStr">
        <is>
          <t>FY Mar2025</t>
        </is>
      </c>
      <c r="N85" s="20" t="inlineStr">
        <is>
          <t>NSK FY2024 Annual Report (JPY ~1.04T)</t>
        </is>
      </c>
    </row>
    <row r="86">
      <c r="A86" s="9" t="n">
        <v>420859670</v>
      </c>
      <c r="B86" s="10" t="inlineStr">
        <is>
          <t>NINGBO HUAXIANG ELECTRONIC CO LTD</t>
        </is>
      </c>
      <c r="C86" s="11" t="n">
        <v>2</v>
      </c>
      <c r="D86" s="11" t="inlineStr">
        <is>
          <t>Q2 2025</t>
        </is>
      </c>
      <c r="E86" s="12" t="n">
        <v>6618314528</v>
      </c>
      <c r="F86" s="12" t="n">
        <v>-163563795</v>
      </c>
      <c r="G86" s="12" t="n">
        <v>559577770</v>
      </c>
      <c r="H86" s="13">
        <f>IF(OR(E86="",F86=""),"",F86/E86)</f>
        <v/>
      </c>
      <c r="I86" s="13">
        <f>IF(OR(E86="",G86=""),"",G86/E86)</f>
        <v/>
      </c>
      <c r="J86" s="13">
        <f>IF(OR(H86="",I86=""),"",H86+I86)</f>
        <v/>
      </c>
      <c r="K86" s="14" t="inlineStr">
        <is>
          <t>Volkswagen, BMW, Mercedes, Volvo, General Motors</t>
        </is>
      </c>
      <c r="L86" s="14" t="inlineStr">
        <is>
          <t>Interior plastic parts, panels, handles, console components</t>
        </is>
      </c>
      <c r="M86" s="11" t="inlineStr">
        <is>
          <t>Q2 2025</t>
        </is>
      </c>
      <c r="N86" s="14" t="inlineStr">
        <is>
          <t>Yahoo Finance (002048.SZ)</t>
        </is>
      </c>
    </row>
    <row r="87">
      <c r="A87" s="15" t="n">
        <v>690559182</v>
      </c>
      <c r="B87" s="16" t="inlineStr">
        <is>
          <t>TOYODA GOSEI CO LTD</t>
        </is>
      </c>
      <c r="C87" s="17" t="n">
        <v>2</v>
      </c>
      <c r="D87" s="17" t="inlineStr">
        <is>
          <t>FY Mar2025</t>
        </is>
      </c>
      <c r="E87" s="18" t="n">
        <v>6566000000</v>
      </c>
      <c r="F87" s="18" t="n">
        <v>436000000</v>
      </c>
      <c r="G87" s="18" t="n">
        <v>302000000</v>
      </c>
      <c r="H87" s="19">
        <f>IF(OR(E87="",F87=""),"",F87/E87)</f>
        <v/>
      </c>
      <c r="I87" s="19">
        <f>IF(OR(E87="",G87=""),"",G87/E87)</f>
        <v/>
      </c>
      <c r="J87" s="19">
        <f>IF(OR(H87="",I87=""),"",H87+I87)</f>
        <v/>
      </c>
      <c r="K87" s="20" t="inlineStr">
        <is>
          <t>Toyota, Honda, Nissan, Ford, General Motors</t>
        </is>
      </c>
      <c r="L87" s="20" t="inlineStr">
        <is>
          <t>Weather strips, air bags, steering wheels, hoses, LEDs</t>
        </is>
      </c>
      <c r="M87" s="17" t="inlineStr">
        <is>
          <t>FY Mar2025</t>
        </is>
      </c>
      <c r="N87" s="20" t="inlineStr">
        <is>
          <t>Toyoda Gosei FY2024 Annual Report</t>
        </is>
      </c>
    </row>
    <row r="88">
      <c r="A88" s="9" t="n">
        <v>690579347</v>
      </c>
      <c r="B88" s="10" t="inlineStr">
        <is>
          <t>KOITO MANUFACTURING CO LTD</t>
        </is>
      </c>
      <c r="C88" s="11" t="n">
        <v>2</v>
      </c>
      <c r="D88" s="11" t="inlineStr">
        <is>
          <t>FY Mar2025</t>
        </is>
      </c>
      <c r="E88" s="12" t="n">
        <v>6407000000</v>
      </c>
      <c r="F88" s="12" t="n"/>
      <c r="G88" s="12" t="n">
        <v>390000000</v>
      </c>
      <c r="H88" s="13">
        <f>IF(OR(E88="",F88=""),"",F88/E88)</f>
        <v/>
      </c>
      <c r="I88" s="13">
        <f>IF(OR(E88="",G88=""),"",G88/E88)</f>
        <v/>
      </c>
      <c r="J88" s="13">
        <f>IF(OR(H88="",I88=""),"",H88+I88)</f>
        <v/>
      </c>
      <c r="K88" s="14" t="inlineStr">
        <is>
          <t>Toyota, Honda, Subaru</t>
        </is>
      </c>
      <c r="L88" s="14" t="inlineStr">
        <is>
          <t>Headlamps, taillamps, fog lamps, LED lighting assemblies</t>
        </is>
      </c>
      <c r="M88" s="11" t="inlineStr">
        <is>
          <t>FY Mar2025</t>
        </is>
      </c>
      <c r="N88" s="14" t="inlineStr">
        <is>
          <t>Koito FY2024 Annual Report (JPY ~956B)</t>
        </is>
      </c>
    </row>
    <row r="89">
      <c r="A89" s="15" t="n">
        <v>274121531</v>
      </c>
      <c r="B89" s="16" t="inlineStr">
        <is>
          <t>CONSTELLIUM SE</t>
        </is>
      </c>
      <c r="C89" s="17" t="n">
        <v>2</v>
      </c>
      <c r="D89" s="17" t="inlineStr">
        <is>
          <t>Q3 2025</t>
        </is>
      </c>
      <c r="E89" s="18" t="n">
        <v>5614000000</v>
      </c>
      <c r="F89" s="18" t="n">
        <v>221000000</v>
      </c>
      <c r="G89" s="18" t="n"/>
      <c r="H89" s="19">
        <f>IF(OR(E89="",F89=""),"",F89/E89)</f>
        <v/>
      </c>
      <c r="I89" s="19">
        <f>IF(OR(E89="",G89=""),"",G89/E89)</f>
        <v/>
      </c>
      <c r="J89" s="19">
        <f>IF(OR(H89="",I89=""),"",H89+I89)</f>
        <v/>
      </c>
      <c r="K89" s="20" t="inlineStr">
        <is>
          <t>BMW, Mercedes, Ford, Stellantis</t>
        </is>
      </c>
      <c r="L89" s="20" t="inlineStr">
        <is>
          <t>Aluminum auto body sheet, crash management systems, structural profiles</t>
        </is>
      </c>
      <c r="M89" s="17" t="inlineStr">
        <is>
          <t>Q3 2025</t>
        </is>
      </c>
      <c r="N89" s="20" t="inlineStr">
        <is>
          <t>SEC 10-Q</t>
        </is>
      </c>
    </row>
    <row r="90">
      <c r="A90" s="9" t="n">
        <v>527651909</v>
      </c>
      <c r="B90" s="10" t="inlineStr">
        <is>
          <t>NINGBO JIFENG AUTO PARTS CO LTD</t>
        </is>
      </c>
      <c r="C90" s="11" t="n">
        <v>2</v>
      </c>
      <c r="D90" s="11" t="inlineStr">
        <is>
          <t>Q2 2025</t>
        </is>
      </c>
      <c r="E90" s="12" t="n">
        <v>5486016977</v>
      </c>
      <c r="F90" s="12" t="n">
        <v>-252904721</v>
      </c>
      <c r="G90" s="12" t="n">
        <v>105608363</v>
      </c>
      <c r="H90" s="13">
        <f>IF(OR(E90="",F90=""),"",F90/E90)</f>
        <v/>
      </c>
      <c r="I90" s="13">
        <f>IF(OR(E90="",G90=""),"",G90/E90)</f>
        <v/>
      </c>
      <c r="J90" s="13">
        <f>IF(OR(H90="",I90=""),"",H90+I90)</f>
        <v/>
      </c>
      <c r="K90" s="14" t="inlineStr">
        <is>
          <t>BMW, Audi, Volkswagen, General Motors, Tesla, Ford</t>
        </is>
      </c>
      <c r="L90" s="14" t="inlineStr">
        <is>
          <t>Automotive seat components, headrests, armrests, seat structural parts</t>
        </is>
      </c>
      <c r="M90" s="11" t="inlineStr">
        <is>
          <t>Q2 2025</t>
        </is>
      </c>
      <c r="N90" s="14" t="inlineStr">
        <is>
          <t>Yahoo Finance (603997.SS)</t>
        </is>
      </c>
    </row>
    <row r="91">
      <c r="A91" s="15" t="n">
        <v>690644448</v>
      </c>
      <c r="B91" s="16" t="inlineStr">
        <is>
          <t>UACJ CORP</t>
        </is>
      </c>
      <c r="C91" s="17" t="n">
        <v>2</v>
      </c>
      <c r="D91" s="17" t="inlineStr">
        <is>
          <t>FY Mar2025</t>
        </is>
      </c>
      <c r="E91" s="18" t="n">
        <v>5450000000</v>
      </c>
      <c r="F91" s="18" t="n">
        <v>290000000</v>
      </c>
      <c r="G91" s="18" t="n">
        <v>280000000</v>
      </c>
      <c r="H91" s="19">
        <f>IF(OR(E91="",F91=""),"",F91/E91)</f>
        <v/>
      </c>
      <c r="I91" s="19">
        <f>IF(OR(E91="",G91=""),"",G91/E91)</f>
        <v/>
      </c>
      <c r="J91" s="19">
        <f>IF(OR(H91="",I91=""),"",H91+I91)</f>
        <v/>
      </c>
      <c r="K91" s="20" t="inlineStr">
        <is>
          <t>General Motors, Toyota, Tesla, Ford, Honda</t>
        </is>
      </c>
      <c r="L91" s="20" t="inlineStr">
        <is>
          <t>Aluminum flat-rolled products, aluminum auto body sheet</t>
        </is>
      </c>
      <c r="M91" s="17" t="inlineStr">
        <is>
          <t>FY Mar2025</t>
        </is>
      </c>
      <c r="N91" s="20" t="inlineStr">
        <is>
          <t>UACJ FY2024 Annual Report (JPY ~813B)</t>
        </is>
      </c>
    </row>
    <row r="92">
      <c r="A92" s="9" t="n">
        <v>690547641</v>
      </c>
      <c r="B92" s="10" t="inlineStr">
        <is>
          <t>ALPS ALPINE CO LTD</t>
        </is>
      </c>
      <c r="C92" s="11" t="n">
        <v>2</v>
      </c>
      <c r="D92" s="11" t="inlineStr">
        <is>
          <t>FY Mar2025</t>
        </is>
      </c>
      <c r="E92" s="12" t="n">
        <v>5430000000</v>
      </c>
      <c r="F92" s="12" t="n">
        <v>370000000</v>
      </c>
      <c r="G92" s="12" t="n">
        <v>190000000</v>
      </c>
      <c r="H92" s="13">
        <f>IF(OR(E92="",F92=""),"",F92/E92)</f>
        <v/>
      </c>
      <c r="I92" s="13">
        <f>IF(OR(E92="",G92=""),"",G92/E92)</f>
        <v/>
      </c>
      <c r="J92" s="13">
        <f>IF(OR(H92="",I92=""),"",H92+I92)</f>
        <v/>
      </c>
      <c r="K92" s="14" t="inlineStr">
        <is>
          <t>General Motors, Stellantis, Ford, Volkswagen, Mercedes</t>
        </is>
      </c>
      <c r="L92" s="14" t="inlineStr">
        <is>
          <t>Automotive sensors, HMI switches, radar sensors, power window switches</t>
        </is>
      </c>
      <c r="M92" s="11" t="inlineStr">
        <is>
          <t>FY Mar2025</t>
        </is>
      </c>
      <c r="N92" s="14" t="inlineStr">
        <is>
          <t>Alps Alpine FY2024 Annual Report (JPY ~810B)</t>
        </is>
      </c>
    </row>
    <row r="93">
      <c r="A93" s="15" t="n">
        <v>690537048</v>
      </c>
      <c r="B93" s="16" t="inlineStr">
        <is>
          <t>FUJIKURA LTD</t>
        </is>
      </c>
      <c r="C93" s="17" t="n">
        <v>2</v>
      </c>
      <c r="D93" s="17" t="inlineStr">
        <is>
          <t>FY Mar2025</t>
        </is>
      </c>
      <c r="E93" s="18" t="n">
        <v>5370000000</v>
      </c>
      <c r="F93" s="18" t="n">
        <v>280000000</v>
      </c>
      <c r="G93" s="18" t="n">
        <v>310000000</v>
      </c>
      <c r="H93" s="19">
        <f>IF(OR(E93="",F93=""),"",F93/E93)</f>
        <v/>
      </c>
      <c r="I93" s="19">
        <f>IF(OR(E93="",G93=""),"",G93/E93)</f>
        <v/>
      </c>
      <c r="J93" s="19">
        <f>IF(OR(H93="",I93=""),"",H93+I93)</f>
        <v/>
      </c>
      <c r="K93" s="20" t="inlineStr">
        <is>
          <t>Toyota, Honda, Nissan</t>
        </is>
      </c>
      <c r="L93" s="20" t="inlineStr">
        <is>
          <t>Wiring harnesses, fiber optic cables, power cables</t>
        </is>
      </c>
      <c r="M93" s="17" t="inlineStr">
        <is>
          <t>FY Mar2025</t>
        </is>
      </c>
      <c r="N93" s="20" t="inlineStr">
        <is>
          <t>Fujikura FY2024 Annual Report (JPY ~800B)</t>
        </is>
      </c>
    </row>
    <row r="94">
      <c r="A94" s="9" t="n">
        <v>687953992</v>
      </c>
      <c r="B94" s="10" t="inlineStr">
        <is>
          <t>LS CORP</t>
        </is>
      </c>
      <c r="C94" s="11" t="n">
        <v>2</v>
      </c>
      <c r="D94" s="11" t="inlineStr">
        <is>
          <t>Q3 2025</t>
        </is>
      </c>
      <c r="E94" s="12" t="n">
        <v>5350849489</v>
      </c>
      <c r="F94" s="12" t="n">
        <v>105533942</v>
      </c>
      <c r="G94" s="12" t="n">
        <v>166833480</v>
      </c>
      <c r="H94" s="13">
        <f>IF(OR(E94="",F94=""),"",F94/E94)</f>
        <v/>
      </c>
      <c r="I94" s="13">
        <f>IF(OR(E94="",G94=""),"",G94/E94)</f>
        <v/>
      </c>
      <c r="J94" s="13">
        <f>IF(OR(H94="",I94=""),"",H94+I94)</f>
        <v/>
      </c>
      <c r="K94" s="14" t="inlineStr">
        <is>
          <t>Kia, Ford, Stellantis, Volkswagen, Hyundai, General Motors</t>
        </is>
      </c>
      <c r="L94" s="14" t="inlineStr">
        <is>
          <t>High-voltage EV cables, wire harnesses, busbars, EV charging cables</t>
        </is>
      </c>
      <c r="M94" s="11" t="inlineStr">
        <is>
          <t>Q3 2025</t>
        </is>
      </c>
      <c r="N94" s="14" t="inlineStr">
        <is>
          <t>Yahoo Finance (006260.KS)</t>
        </is>
      </c>
    </row>
    <row r="95">
      <c r="A95" s="15" t="n">
        <v>654675222</v>
      </c>
      <c r="B95" s="16" t="inlineStr">
        <is>
          <t>XIAMEN HONGFA ELECTROACOUSTIC CO</t>
        </is>
      </c>
      <c r="C95" s="17" t="n">
        <v>2</v>
      </c>
      <c r="D95" s="17" t="inlineStr">
        <is>
          <t>Q2 2025</t>
        </is>
      </c>
      <c r="E95" s="18" t="n">
        <v>5257252992</v>
      </c>
      <c r="F95" s="18" t="n">
        <v>-59070114</v>
      </c>
      <c r="G95" s="18" t="n">
        <v>383624725</v>
      </c>
      <c r="H95" s="19">
        <f>IF(OR(E95="",F95=""),"",F95/E95)</f>
        <v/>
      </c>
      <c r="I95" s="19">
        <f>IF(OR(E95="",G95=""),"",G95/E95)</f>
        <v/>
      </c>
      <c r="J95" s="19">
        <f>IF(OR(H95="",I95=""),"",H95+I95)</f>
        <v/>
      </c>
      <c r="K95" s="20" t="inlineStr">
        <is>
          <t>Tesla, Toyota, Volkswagen</t>
        </is>
      </c>
      <c r="L95" s="20" t="inlineStr">
        <is>
          <t>Automotive relays, high-voltage contactors for EVs</t>
        </is>
      </c>
      <c r="M95" s="17" t="inlineStr">
        <is>
          <t>Q2 2025</t>
        </is>
      </c>
      <c r="N95" s="20" t="inlineStr">
        <is>
          <t>Yahoo Finance (601137.SS)</t>
        </is>
      </c>
    </row>
    <row r="96">
      <c r="A96" s="9" t="n">
        <v>690571757</v>
      </c>
      <c r="B96" s="10" t="inlineStr">
        <is>
          <t>MINEBEA MITSUMI INC</t>
        </is>
      </c>
      <c r="C96" s="11" t="n">
        <v>2</v>
      </c>
      <c r="D96" s="11" t="inlineStr">
        <is>
          <t>FY Mar2025</t>
        </is>
      </c>
      <c r="E96" s="12" t="n">
        <v>5140000000</v>
      </c>
      <c r="F96" s="12" t="n">
        <v>290000000</v>
      </c>
      <c r="G96" s="12" t="n">
        <v>290000000</v>
      </c>
      <c r="H96" s="13">
        <f>IF(OR(E96="",F96=""),"",F96/E96)</f>
        <v/>
      </c>
      <c r="I96" s="13">
        <f>IF(OR(E96="",G96=""),"",G96/E96)</f>
        <v/>
      </c>
      <c r="J96" s="13">
        <f>IF(OR(H96="",I96=""),"",H96+I96)</f>
        <v/>
      </c>
      <c r="K96" s="14" t="inlineStr">
        <is>
          <t>Toyota, Honda, Nissan, Ford, Tesla, BMW</t>
        </is>
      </c>
      <c r="L96" s="14" t="inlineStr">
        <is>
          <t>Miniature ball bearings, stepping motors, sensors, LED backlights</t>
        </is>
      </c>
      <c r="M96" s="11" t="inlineStr">
        <is>
          <t>FY Mar2025</t>
        </is>
      </c>
      <c r="N96" s="14" t="inlineStr">
        <is>
          <t>MinebeaMitsumi FY2024 Annual Report (JPY ~767B)</t>
        </is>
      </c>
    </row>
    <row r="97">
      <c r="A97" s="15" t="n">
        <v>690541545</v>
      </c>
      <c r="B97" s="16" t="inlineStr">
        <is>
          <t>NHK SPRING CO LTD</t>
        </is>
      </c>
      <c r="C97" s="17" t="n">
        <v>2</v>
      </c>
      <c r="D97" s="17" t="inlineStr">
        <is>
          <t>FY Mar2025</t>
        </is>
      </c>
      <c r="E97" s="18" t="n">
        <v>4824000000</v>
      </c>
      <c r="F97" s="18" t="n">
        <v>302000000</v>
      </c>
      <c r="G97" s="18" t="n">
        <v>235000000</v>
      </c>
      <c r="H97" s="19">
        <f>IF(OR(E97="",F97=""),"",F97/E97)</f>
        <v/>
      </c>
      <c r="I97" s="19">
        <f>IF(OR(E97="",G97=""),"",G97/E97)</f>
        <v/>
      </c>
      <c r="J97" s="19">
        <f>IF(OR(H97="",I97=""),"",H97+I97)</f>
        <v/>
      </c>
      <c r="K97" s="20" t="inlineStr">
        <is>
          <t>Toyota, Honda, Nissan, Subaru, Mazda, General Motors</t>
        </is>
      </c>
      <c r="L97" s="20" t="inlineStr">
        <is>
          <t>Suspension springs, valve springs, disk springs, anti-vibration systems</t>
        </is>
      </c>
      <c r="M97" s="17" t="inlineStr">
        <is>
          <t>FY Mar2025</t>
        </is>
      </c>
      <c r="N97" s="20" t="inlineStr">
        <is>
          <t>NHK Spring FY2024 Annual Report</t>
        </is>
      </c>
    </row>
    <row r="98">
      <c r="A98" s="9" t="n">
        <v>4465100</v>
      </c>
      <c r="B98" s="10" t="inlineStr">
        <is>
          <t>TIMKEN CO, THE</t>
        </is>
      </c>
      <c r="C98" s="11" t="n">
        <v>2</v>
      </c>
      <c r="D98" s="11" t="inlineStr">
        <is>
          <t>FY2024</t>
        </is>
      </c>
      <c r="E98" s="12" t="n">
        <v>4570000000</v>
      </c>
      <c r="F98" s="12" t="n">
        <v>440000000</v>
      </c>
      <c r="G98" s="12" t="n">
        <v>460000000</v>
      </c>
      <c r="H98" s="13">
        <f>IF(OR(E98="",F98=""),"",F98/E98)</f>
        <v/>
      </c>
      <c r="I98" s="13">
        <f>IF(OR(E98="",G98=""),"",G98/E98)</f>
        <v/>
      </c>
      <c r="J98" s="13">
        <f>IF(OR(H98="",I98=""),"",H98+I98)</f>
        <v/>
      </c>
      <c r="K98" s="14" t="inlineStr">
        <is>
          <t>General Motors</t>
        </is>
      </c>
      <c r="L98" s="14" t="inlineStr">
        <is>
          <t>Tapered roller bearings, spherical roller bearings, driveshaft bearings</t>
        </is>
      </c>
      <c r="M98" s="11" t="inlineStr">
        <is>
          <t>FY2024</t>
        </is>
      </c>
      <c r="N98" s="14" t="inlineStr">
        <is>
          <t>Timken 2024 10-K</t>
        </is>
      </c>
    </row>
    <row r="99">
      <c r="A99" s="15" t="n">
        <v>690536867</v>
      </c>
      <c r="B99" s="16" t="inlineStr">
        <is>
          <t>MITSUBISHI MATERIALS CORP</t>
        </is>
      </c>
      <c r="C99" s="17" t="n">
        <v>2</v>
      </c>
      <c r="D99" s="17" t="inlineStr">
        <is>
          <t>FY Mar2025</t>
        </is>
      </c>
      <c r="E99" s="18" t="n">
        <v>4410000000</v>
      </c>
      <c r="F99" s="18" t="n">
        <v>230000000</v>
      </c>
      <c r="G99" s="18" t="n">
        <v>220000000</v>
      </c>
      <c r="H99" s="19">
        <f>IF(OR(E99="",F99=""),"",F99/E99)</f>
        <v/>
      </c>
      <c r="I99" s="19">
        <f>IF(OR(E99="",G99=""),"",G99/E99)</f>
        <v/>
      </c>
      <c r="J99" s="19">
        <f>IF(OR(H99="",I99=""),"",H99+I99)</f>
        <v/>
      </c>
      <c r="K99" s="20" t="inlineStr">
        <is>
          <t>Toyota, Ford, Nissan, Volkswagen</t>
        </is>
      </c>
      <c r="L99" s="20" t="inlineStr">
        <is>
          <t>Cemented carbide cutting tools, copper alloys, aluminum for auto</t>
        </is>
      </c>
      <c r="M99" s="17" t="inlineStr">
        <is>
          <t>FY Mar2025</t>
        </is>
      </c>
      <c r="N99" s="20" t="inlineStr">
        <is>
          <t>Mitsubishi Materials FY2024 Annual Report</t>
        </is>
      </c>
    </row>
    <row r="100">
      <c r="A100" s="9" t="n">
        <v>471743500</v>
      </c>
      <c r="B100" s="10" t="inlineStr">
        <is>
          <t>CIE AUTOMOTIVE SA</t>
        </is>
      </c>
      <c r="C100" s="11" t="n">
        <v>2</v>
      </c>
      <c r="D100" s="11" t="inlineStr">
        <is>
          <t>FY2024</t>
        </is>
      </c>
      <c r="E100" s="12" t="n">
        <v>4290000000</v>
      </c>
      <c r="F100" s="12" t="n">
        <v>200000000</v>
      </c>
      <c r="G100" s="12" t="n">
        <v>420000000</v>
      </c>
      <c r="H100" s="13">
        <f>IF(OR(E100="",F100=""),"",F100/E100)</f>
        <v/>
      </c>
      <c r="I100" s="13">
        <f>IF(OR(E100="",G100=""),"",G100/E100)</f>
        <v/>
      </c>
      <c r="J100" s="13">
        <f>IF(OR(H100="",I100=""),"",H100+I100)</f>
        <v/>
      </c>
      <c r="K100" s="14" t="inlineStr">
        <is>
          <t>Volkswagen, Stellantis, Ford, BMW, General Motors</t>
        </is>
      </c>
      <c r="L100" s="14" t="inlineStr">
        <is>
          <t>Metal stamped parts, aluminum castings, forge components, plastic/composite parts</t>
        </is>
      </c>
      <c r="M100" s="11" t="inlineStr">
        <is>
          <t>FY2024</t>
        </is>
      </c>
      <c r="N100" s="14" t="inlineStr">
        <is>
          <t>CIE Automotive 2024 Annual Report (EUR ~€3.97B)</t>
        </is>
      </c>
    </row>
    <row r="101">
      <c r="A101" s="15" t="n">
        <v>7140064</v>
      </c>
      <c r="B101" s="16" t="inlineStr">
        <is>
          <t>LEGGETT &amp; PLATT INC</t>
        </is>
      </c>
      <c r="C101" s="17" t="n">
        <v>2</v>
      </c>
      <c r="D101" s="17" t="inlineStr">
        <is>
          <t>FY2024</t>
        </is>
      </c>
      <c r="E101" s="18" t="n">
        <v>4060000000</v>
      </c>
      <c r="F101" s="18" t="n">
        <v>295000000</v>
      </c>
      <c r="G101" s="18" t="n">
        <v>280000000</v>
      </c>
      <c r="H101" s="19">
        <f>IF(OR(E101="",F101=""),"",F101/E101)</f>
        <v/>
      </c>
      <c r="I101" s="19">
        <f>IF(OR(E101="",G101=""),"",G101/E101)</f>
        <v/>
      </c>
      <c r="J101" s="19">
        <f>IF(OR(H101="",I101=""),"",H101+I101)</f>
        <v/>
      </c>
      <c r="K101" s="20" t="inlineStr">
        <is>
          <t>General Motors, Toyota, Ford</t>
        </is>
      </c>
      <c r="L101" s="20" t="inlineStr">
        <is>
          <t>Seat suspension systems, lumbar supports, seat comfort structures</t>
        </is>
      </c>
      <c r="M101" s="17" t="inlineStr">
        <is>
          <t>FY2024</t>
        </is>
      </c>
      <c r="N101" s="20" t="inlineStr">
        <is>
          <t>Leggett &amp; Platt 2024 10-K</t>
        </is>
      </c>
    </row>
    <row r="102">
      <c r="A102" s="9" t="n">
        <v>530750454</v>
      </c>
      <c r="B102" s="10" t="inlineStr">
        <is>
          <t>ZHEJIANG WANFENG AUTO WHEEL CO LTD</t>
        </is>
      </c>
      <c r="C102" s="11" t="n">
        <v>2</v>
      </c>
      <c r="D102" s="11" t="inlineStr">
        <is>
          <t>Q2 2025</t>
        </is>
      </c>
      <c r="E102" s="12" t="n">
        <v>3927246135</v>
      </c>
      <c r="F102" s="12" t="n">
        <v>-62339367</v>
      </c>
      <c r="G102" s="12" t="n">
        <v>386813261</v>
      </c>
      <c r="H102" s="13">
        <f>IF(OR(E102="",F102=""),"",F102/E102)</f>
        <v/>
      </c>
      <c r="I102" s="13">
        <f>IF(OR(E102="",G102=""),"",G102/E102)</f>
        <v/>
      </c>
      <c r="J102" s="13">
        <f>IF(OR(H102="",I102=""),"",H102+I102)</f>
        <v/>
      </c>
      <c r="K102" s="14" t="inlineStr">
        <is>
          <t>Mercedes, BMW, Volkswagen, General Motors, Ford, Stellantis</t>
        </is>
      </c>
      <c r="L102" s="14" t="inlineStr">
        <is>
          <t>Aluminum alloy wheels, magnesium wheels</t>
        </is>
      </c>
      <c r="M102" s="11" t="inlineStr">
        <is>
          <t>Q2 2025</t>
        </is>
      </c>
      <c r="N102" s="14" t="inlineStr">
        <is>
          <t>Yahoo Finance (002085.SZ)</t>
        </is>
      </c>
    </row>
    <row r="103">
      <c r="A103" s="15" t="n">
        <v>220607205</v>
      </c>
      <c r="B103" s="16" t="inlineStr">
        <is>
          <t>TI FLUID SYSTEMS PLC</t>
        </is>
      </c>
      <c r="C103" s="17" t="n">
        <v>2</v>
      </c>
      <c r="D103" s="17" t="inlineStr">
        <is>
          <t>FY2024</t>
        </is>
      </c>
      <c r="E103" s="18" t="n">
        <v>3840000000</v>
      </c>
      <c r="F103" s="18" t="n">
        <v>155000000</v>
      </c>
      <c r="G103" s="18" t="n">
        <v>195000000</v>
      </c>
      <c r="H103" s="19">
        <f>IF(OR(E103="",F103=""),"",F103/E103)</f>
        <v/>
      </c>
      <c r="I103" s="19">
        <f>IF(OR(E103="",G103=""),"",G103/E103)</f>
        <v/>
      </c>
      <c r="J103" s="19">
        <f>IF(OR(H103="",I103=""),"",H103+I103)</f>
        <v/>
      </c>
      <c r="K103" s="20" t="inlineStr">
        <is>
          <t>Volkswagen, Stellantis, Ford, BMW, General Motors</t>
        </is>
      </c>
      <c r="L103" s="20" t="inlineStr">
        <is>
          <t>Fuel delivery systems, brake &amp; fluid lines, thermal management tubes</t>
        </is>
      </c>
      <c r="M103" s="17" t="inlineStr">
        <is>
          <t>FY2024</t>
        </is>
      </c>
      <c r="N103" s="20" t="inlineStr">
        <is>
          <t>TI Fluid Systems 2024 Annual Report (GBP ~£3.0B)</t>
        </is>
      </c>
    </row>
    <row r="104">
      <c r="A104" s="9" t="n">
        <v>875648826</v>
      </c>
      <c r="B104" s="10" t="inlineStr">
        <is>
          <t>JOHNSON ELECTRIC HOLDINGS LIMITED</t>
        </is>
      </c>
      <c r="C104" s="11" t="n">
        <v>2</v>
      </c>
      <c r="D104" s="11" t="inlineStr">
        <is>
          <t>FY Mar2025</t>
        </is>
      </c>
      <c r="E104" s="12" t="n">
        <v>3820000000</v>
      </c>
      <c r="F104" s="12" t="n">
        <v>330000000</v>
      </c>
      <c r="G104" s="12" t="n">
        <v>220000000</v>
      </c>
      <c r="H104" s="13">
        <f>IF(OR(E104="",F104=""),"",F104/E104)</f>
        <v/>
      </c>
      <c r="I104" s="13">
        <f>IF(OR(E104="",G104=""),"",G104/E104)</f>
        <v/>
      </c>
      <c r="J104" s="13">
        <f>IF(OR(H104="",I104=""),"",H104+I104)</f>
        <v/>
      </c>
      <c r="K104" s="14" t="inlineStr">
        <is>
          <t>Ford, Volkswagen, General Motors</t>
        </is>
      </c>
      <c r="L104" s="14" t="inlineStr">
        <is>
          <t>DC motors, actuators, solenoids for windows/doors/HVAC</t>
        </is>
      </c>
      <c r="M104" s="11" t="inlineStr">
        <is>
          <t>FY Mar2025</t>
        </is>
      </c>
      <c r="N104" s="14" t="inlineStr">
        <is>
          <t>Johnson Electric FY2024 Annual Report (HKD ~30B)</t>
        </is>
      </c>
    </row>
    <row r="105">
      <c r="A105" s="15" t="n">
        <v>420810582</v>
      </c>
      <c r="B105" s="16" t="inlineStr">
        <is>
          <t>ZHEJIANG YINLUN MACHINERY CO LTD</t>
        </is>
      </c>
      <c r="C105" s="17" t="n">
        <v>2</v>
      </c>
      <c r="D105" s="17" t="inlineStr">
        <is>
          <t>Q2 2025</t>
        </is>
      </c>
      <c r="E105" s="18" t="n">
        <v>3751366118</v>
      </c>
      <c r="F105" s="18" t="n">
        <v>-32772239</v>
      </c>
      <c r="G105" s="18" t="n">
        <v>317930743</v>
      </c>
      <c r="H105" s="19">
        <f>IF(OR(E105="",F105=""),"",F105/E105)</f>
        <v/>
      </c>
      <c r="I105" s="19">
        <f>IF(OR(E105="",G105=""),"",G105/E105)</f>
        <v/>
      </c>
      <c r="J105" s="19">
        <f>IF(OR(H105="",I105=""),"",H105+I105)</f>
        <v/>
      </c>
      <c r="K105" s="20" t="inlineStr">
        <is>
          <t>Tesla, Volkswagen, General Motors, Ford</t>
        </is>
      </c>
      <c r="L105" s="20" t="inlineStr">
        <is>
          <t>EV battery thermal management, heat exchangers, coolers</t>
        </is>
      </c>
      <c r="M105" s="17" t="inlineStr">
        <is>
          <t>Q2 2025</t>
        </is>
      </c>
      <c r="N105" s="20" t="inlineStr">
        <is>
          <t>Yahoo Finance (002126.SZ)</t>
        </is>
      </c>
    </row>
    <row r="106">
      <c r="A106" s="9" t="n">
        <v>898699483</v>
      </c>
      <c r="B106" s="10" t="inlineStr">
        <is>
          <t>IOCHPE MAXION SA</t>
        </is>
      </c>
      <c r="C106" s="11" t="n">
        <v>2</v>
      </c>
      <c r="D106" s="11" t="inlineStr">
        <is>
          <t>Q4 2025</t>
        </is>
      </c>
      <c r="E106" s="12" t="n">
        <v>3519120000</v>
      </c>
      <c r="F106" s="12" t="n">
        <v>219360000</v>
      </c>
      <c r="G106" s="12" t="n">
        <v>189888000</v>
      </c>
      <c r="H106" s="13">
        <f>IF(OR(E106="",F106=""),"",F106/E106)</f>
        <v/>
      </c>
      <c r="I106" s="13">
        <f>IF(OR(E106="",G106=""),"",G106/E106)</f>
        <v/>
      </c>
      <c r="J106" s="13">
        <f>IF(OR(H106="",I106=""),"",H106+I106)</f>
        <v/>
      </c>
      <c r="K106" s="14" t="inlineStr">
        <is>
          <t>Volkswagen, Stellantis, General Motors, Ford, Toyota</t>
        </is>
      </c>
      <c r="L106" s="14" t="inlineStr">
        <is>
          <t>Steel wheels, aluminum wheels, truck chassis frames</t>
        </is>
      </c>
      <c r="M106" s="11" t="inlineStr">
        <is>
          <t>Q4 2025</t>
        </is>
      </c>
      <c r="N106" s="14" t="inlineStr">
        <is>
          <t>Yahoo Finance (MYPK3.SA)</t>
        </is>
      </c>
    </row>
    <row r="107">
      <c r="A107" s="15" t="n">
        <v>690569256</v>
      </c>
      <c r="B107" s="16" t="inlineStr">
        <is>
          <t>NITERRA CO LTD</t>
        </is>
      </c>
      <c r="C107" s="17" t="n">
        <v>2</v>
      </c>
      <c r="D107" s="17" t="inlineStr">
        <is>
          <t>FY Mar2025</t>
        </is>
      </c>
      <c r="E107" s="18" t="n">
        <v>3484000000</v>
      </c>
      <c r="F107" s="18" t="n">
        <v>369000000</v>
      </c>
      <c r="G107" s="18" t="n">
        <v>348000000</v>
      </c>
      <c r="H107" s="19">
        <f>IF(OR(E107="",F107=""),"",F107/E107)</f>
        <v/>
      </c>
      <c r="I107" s="19">
        <f>IF(OR(E107="",G107=""),"",G107/E107)</f>
        <v/>
      </c>
      <c r="J107" s="19">
        <f>IF(OR(H107="",I107=""),"",H107+I107)</f>
        <v/>
      </c>
      <c r="K107" s="20" t="inlineStr">
        <is>
          <t>Toyota, Honda, Volkswagen, Ford, General Motors</t>
        </is>
      </c>
      <c r="L107" s="20" t="inlineStr">
        <is>
          <t>Spark plugs, glow plugs, oxygen sensors, temperature sensors</t>
        </is>
      </c>
      <c r="M107" s="17" t="inlineStr">
        <is>
          <t>FY Mar2025</t>
        </is>
      </c>
      <c r="N107" s="20" t="inlineStr">
        <is>
          <t>Niterra FY2024 Annual Report</t>
        </is>
      </c>
    </row>
    <row r="108">
      <c r="A108" s="9" t="n">
        <v>300209194</v>
      </c>
      <c r="B108" s="10" t="inlineStr">
        <is>
          <t>AMS AG</t>
        </is>
      </c>
      <c r="C108" s="11" t="n">
        <v>2</v>
      </c>
      <c r="D108" s="11" t="inlineStr">
        <is>
          <t>FY2024</t>
        </is>
      </c>
      <c r="E108" s="12" t="n">
        <v>3440000000</v>
      </c>
      <c r="F108" s="12" t="n">
        <v>330000000</v>
      </c>
      <c r="G108" s="12" t="n">
        <v>-640000000</v>
      </c>
      <c r="H108" s="13">
        <f>IF(OR(E108="",F108=""),"",F108/E108)</f>
        <v/>
      </c>
      <c r="I108" s="13">
        <f>IF(OR(E108="",G108=""),"",G108/E108)</f>
        <v/>
      </c>
      <c r="J108" s="13">
        <f>IF(OR(H108="",I108=""),"",H108+I108)</f>
        <v/>
      </c>
      <c r="K108" s="14" t="inlineStr">
        <is>
          <t>Stellantis</t>
        </is>
      </c>
      <c r="L108" s="14" t="inlineStr">
        <is>
          <t>Optical sensors, ambient light sensors, lidar, automotive lighting</t>
        </is>
      </c>
      <c r="M108" s="11" t="inlineStr">
        <is>
          <t>FY2024</t>
        </is>
      </c>
      <c r="N108" s="14" t="inlineStr">
        <is>
          <t>ams-OSRAM 2024 Annual Report (EUR ~€3.2B)</t>
        </is>
      </c>
    </row>
    <row r="109">
      <c r="A109" s="15" t="n">
        <v>690550454</v>
      </c>
      <c r="B109" s="16" t="inlineStr">
        <is>
          <t>NOK CORPORATION</t>
        </is>
      </c>
      <c r="C109" s="17" t="n">
        <v>2</v>
      </c>
      <c r="D109" s="17" t="inlineStr">
        <is>
          <t>FY Mar2025</t>
        </is>
      </c>
      <c r="E109" s="18" t="n">
        <v>3270000000</v>
      </c>
      <c r="F109" s="18" t="n">
        <v>175000000</v>
      </c>
      <c r="G109" s="18" t="n">
        <v>175000000</v>
      </c>
      <c r="H109" s="19">
        <f>IF(OR(E109="",F109=""),"",F109/E109)</f>
        <v/>
      </c>
      <c r="I109" s="19">
        <f>IF(OR(E109="",G109=""),"",G109/E109)</f>
        <v/>
      </c>
      <c r="J109" s="19">
        <f>IF(OR(H109="",I109=""),"",H109+I109)</f>
        <v/>
      </c>
      <c r="K109" s="20" t="inlineStr">
        <is>
          <t>Toyota, Nissan, Honda, Volkswagen, General Motors</t>
        </is>
      </c>
      <c r="L109" s="20" t="inlineStr">
        <is>
          <t>Oil seals, O-rings, sealing solutions, EV motor seals</t>
        </is>
      </c>
      <c r="M109" s="17" t="inlineStr">
        <is>
          <t>FY Mar2025</t>
        </is>
      </c>
      <c r="N109" s="20" t="inlineStr">
        <is>
          <t>NOK Corporation FY2024 Annual Report (JPY ~488B)</t>
        </is>
      </c>
    </row>
    <row r="110">
      <c r="A110" s="9" t="n">
        <v>1315266</v>
      </c>
      <c r="B110" s="10" t="inlineStr">
        <is>
          <t>STANDARD MOTOR PRODUCTS INC</t>
        </is>
      </c>
      <c r="C110" s="11" t="n">
        <v>2</v>
      </c>
      <c r="D110" s="11" t="inlineStr">
        <is>
          <t>FY2024</t>
        </is>
      </c>
      <c r="E110" s="12" t="n">
        <v>3218000000</v>
      </c>
      <c r="F110" s="12" t="n">
        <v>396000000</v>
      </c>
      <c r="G110" s="12" t="n">
        <v>156000000</v>
      </c>
      <c r="H110" s="13">
        <f>IF(OR(E110="",F110=""),"",F110/E110)</f>
        <v/>
      </c>
      <c r="I110" s="13">
        <f>IF(OR(E110="",G110=""),"",G110/E110)</f>
        <v/>
      </c>
      <c r="J110" s="13">
        <f>IF(OR(H110="",I110=""),"",H110+I110)</f>
        <v/>
      </c>
      <c r="K110" s="14" t="inlineStr">
        <is>
          <t>Ford, General Motors, Volvo</t>
        </is>
      </c>
      <c r="L110" s="14" t="inlineStr">
        <is>
          <t>Ignition coils, sensors, fuel injectors, EGR components, engine management</t>
        </is>
      </c>
      <c r="M110" s="11" t="inlineStr">
        <is>
          <t>FY2024</t>
        </is>
      </c>
      <c r="N110" s="14" t="inlineStr">
        <is>
          <t>Standard Motor Products 2024 10-K</t>
        </is>
      </c>
    </row>
    <row r="111">
      <c r="A111" s="15" t="n">
        <v>864393322</v>
      </c>
      <c r="B111" s="16" t="inlineStr">
        <is>
          <t>MINTH GROUP LTD</t>
        </is>
      </c>
      <c r="C111" s="17" t="n">
        <v>2</v>
      </c>
      <c r="D111" s="17" t="inlineStr">
        <is>
          <t>FY2024</t>
        </is>
      </c>
      <c r="E111" s="18" t="n">
        <v>3090000000</v>
      </c>
      <c r="F111" s="18" t="n">
        <v>155000000</v>
      </c>
      <c r="G111" s="18" t="n">
        <v>320000000</v>
      </c>
      <c r="H111" s="19">
        <f>IF(OR(E111="",F111=""),"",F111/E111)</f>
        <v/>
      </c>
      <c r="I111" s="19">
        <f>IF(OR(E111="",G111=""),"",G111/E111)</f>
        <v/>
      </c>
      <c r="J111" s="19">
        <f>IF(OR(H111="",I111=""),"",H111+I111)</f>
        <v/>
      </c>
      <c r="K111" s="20" t="inlineStr">
        <is>
          <t>Tesla, General Motors, Toyota, Mercedes, Volkswagen</t>
        </is>
      </c>
      <c r="L111" s="20" t="inlineStr">
        <is>
          <t>Decorative trim strips, door frame sealing, EV battery enclosures, structural parts</t>
        </is>
      </c>
      <c r="M111" s="17" t="inlineStr">
        <is>
          <t>FY2024</t>
        </is>
      </c>
      <c r="N111" s="20" t="inlineStr">
        <is>
          <t>Minth Group 2024 Annual Report (HKD ~24B)</t>
        </is>
      </c>
    </row>
    <row r="112">
      <c r="A112" s="9" t="n">
        <v>690538541</v>
      </c>
      <c r="B112" s="10" t="inlineStr">
        <is>
          <t>SUMITOMO RIKO COMPANY LTD</t>
        </is>
      </c>
      <c r="C112" s="11" t="n">
        <v>2</v>
      </c>
      <c r="D112" s="11" t="inlineStr">
        <is>
          <t>FY Mar2025</t>
        </is>
      </c>
      <c r="E112" s="12" t="n">
        <v>3090000000</v>
      </c>
      <c r="F112" s="12" t="n">
        <v>155000000</v>
      </c>
      <c r="G112" s="12" t="n">
        <v>145000000</v>
      </c>
      <c r="H112" s="13">
        <f>IF(OR(E112="",F112=""),"",F112/E112)</f>
        <v/>
      </c>
      <c r="I112" s="13">
        <f>IF(OR(E112="",G112=""),"",G112/E112)</f>
        <v/>
      </c>
      <c r="J112" s="13">
        <f>IF(OR(H112="",I112=""),"",H112+I112)</f>
        <v/>
      </c>
      <c r="K112" s="14" t="inlineStr">
        <is>
          <t>Honda, Nissan, General Motors, BMW, Mercedes, Mazda</t>
        </is>
      </c>
      <c r="L112" s="14" t="inlineStr">
        <is>
          <t>Anti-vibration rubber, hoses, sealing products, interior parts</t>
        </is>
      </c>
      <c r="M112" s="11" t="inlineStr">
        <is>
          <t>FY Mar2025</t>
        </is>
      </c>
      <c r="N112" s="14" t="inlineStr">
        <is>
          <t>Sumitomo Riko FY2024 Annual Report (JPY ~461B)</t>
        </is>
      </c>
    </row>
    <row r="113">
      <c r="A113" s="15" t="n">
        <v>690550637</v>
      </c>
      <c r="B113" s="16" t="inlineStr">
        <is>
          <t>STANLEY ELECTRIC CO LTD</t>
        </is>
      </c>
      <c r="C113" s="17" t="n">
        <v>2</v>
      </c>
      <c r="D113" s="17" t="inlineStr">
        <is>
          <t>FY Mar2025</t>
        </is>
      </c>
      <c r="E113" s="18" t="n">
        <v>2940000000</v>
      </c>
      <c r="F113" s="18" t="n">
        <v>155000000</v>
      </c>
      <c r="G113" s="18" t="n">
        <v>195000000</v>
      </c>
      <c r="H113" s="19">
        <f>IF(OR(E113="",F113=""),"",F113/E113)</f>
        <v/>
      </c>
      <c r="I113" s="19">
        <f>IF(OR(E113="",G113=""),"",G113/E113)</f>
        <v/>
      </c>
      <c r="J113" s="19">
        <f>IF(OR(H113="",I113=""),"",H113+I113)</f>
        <v/>
      </c>
      <c r="K113" s="20" t="inlineStr">
        <is>
          <t>Honda, Toyota, Subaru</t>
        </is>
      </c>
      <c r="L113" s="20" t="inlineStr">
        <is>
          <t>Headlamps, taillamps, fog lamps, LED assemblies</t>
        </is>
      </c>
      <c r="M113" s="17" t="inlineStr">
        <is>
          <t>FY Mar2025</t>
        </is>
      </c>
      <c r="N113" s="20" t="inlineStr">
        <is>
          <t>Stanley Electric FY2024 Annual Report (JPY ~439B)</t>
        </is>
      </c>
    </row>
    <row r="114">
      <c r="A114" s="9" t="n">
        <v>7871643</v>
      </c>
      <c r="B114" s="10" t="inlineStr">
        <is>
          <t>LCI INDUSTRIES</t>
        </is>
      </c>
      <c r="C114" s="11" t="n">
        <v>2</v>
      </c>
      <c r="D114" s="11" t="inlineStr">
        <is>
          <t>Q3 2025</t>
        </is>
      </c>
      <c r="E114" s="12" t="n">
        <v>2938070000</v>
      </c>
      <c r="F114" s="12" t="n">
        <v>508206000</v>
      </c>
      <c r="G114" s="12" t="n">
        <v>202103000</v>
      </c>
      <c r="H114" s="13">
        <f>IF(OR(E114="",F114=""),"",F114/E114)</f>
        <v/>
      </c>
      <c r="I114" s="13">
        <f>IF(OR(E114="",G114=""),"",G114/E114)</f>
        <v/>
      </c>
      <c r="J114" s="13">
        <f>IF(OR(H114="",I114=""),"",H114+I114)</f>
        <v/>
      </c>
      <c r="K114" s="14" t="inlineStr">
        <is>
          <t>General Motors, Ford, Stellantis</t>
        </is>
      </c>
      <c r="L114" s="14" t="inlineStr">
        <is>
          <t>Chassis components, slide-outs, leveling systems for trucks/RVs</t>
        </is>
      </c>
      <c r="M114" s="11" t="inlineStr">
        <is>
          <t>Q3 2025</t>
        </is>
      </c>
      <c r="N114" s="14" t="inlineStr">
        <is>
          <t>SEC 10-Q</t>
        </is>
      </c>
    </row>
    <row r="115">
      <c r="A115" s="15" t="n">
        <v>80267418</v>
      </c>
      <c r="B115" s="16" t="inlineStr">
        <is>
          <t>ITT INC</t>
        </is>
      </c>
      <c r="C115" s="17" t="n">
        <v>2</v>
      </c>
      <c r="D115" s="17" t="inlineStr">
        <is>
          <t>Q3 2025</t>
        </is>
      </c>
      <c r="E115" s="18" t="n">
        <v>2701700000</v>
      </c>
      <c r="F115" s="18" t="n"/>
      <c r="G115" s="18" t="n">
        <v>518200000</v>
      </c>
      <c r="H115" s="19">
        <f>IF(OR(E115="",F115=""),"",F115/E115)</f>
        <v/>
      </c>
      <c r="I115" s="19">
        <f>IF(OR(E115="",G115=""),"",G115/E115)</f>
        <v/>
      </c>
      <c r="J115" s="19">
        <f>IF(OR(H115="",I115=""),"",H115+I115)</f>
        <v/>
      </c>
      <c r="K115" s="20" t="inlineStr">
        <is>
          <t>Volkswagen, BMW, Mercedes, Stellantis</t>
        </is>
      </c>
      <c r="L115" s="20" t="inlineStr">
        <is>
          <t>Brake pads, EV regenerative brake pads, connectors</t>
        </is>
      </c>
      <c r="M115" s="17" t="inlineStr">
        <is>
          <t>Q3 2025</t>
        </is>
      </c>
      <c r="N115" s="20" t="inlineStr">
        <is>
          <t>SEC 10-Q</t>
        </is>
      </c>
    </row>
    <row r="116">
      <c r="A116" s="9" t="n">
        <v>898699483</v>
      </c>
      <c r="B116" s="10" t="inlineStr">
        <is>
          <t>TUPY S/A</t>
        </is>
      </c>
      <c r="C116" s="11" t="n">
        <v>2</v>
      </c>
      <c r="D116" s="11" t="inlineStr">
        <is>
          <t>Q2 2025</t>
        </is>
      </c>
      <c r="E116" s="12" t="n">
        <v>2627369000</v>
      </c>
      <c r="F116" s="12" t="n">
        <v>250255000</v>
      </c>
      <c r="G116" s="12" t="n">
        <v>86266000</v>
      </c>
      <c r="H116" s="13">
        <f>IF(OR(E116="",F116=""),"",F116/E116)</f>
        <v/>
      </c>
      <c r="I116" s="13">
        <f>IF(OR(E116="",G116=""),"",G116/E116)</f>
        <v/>
      </c>
      <c r="J116" s="13">
        <f>IF(OR(H116="",I116=""),"",H116+I116)</f>
        <v/>
      </c>
      <c r="K116" s="14" t="inlineStr">
        <is>
          <t>General Motors, Ford, Stellantis, Volkswagen</t>
        </is>
      </c>
      <c r="L116" s="14" t="inlineStr">
        <is>
          <t>Gray iron castings, ductile iron castings, engine blocks, cylinder heads</t>
        </is>
      </c>
      <c r="M116" s="11" t="inlineStr">
        <is>
          <t>Q2 2025</t>
        </is>
      </c>
      <c r="N116" s="14" t="inlineStr">
        <is>
          <t>Yahoo Finance (TUPY3.SA)</t>
        </is>
      </c>
    </row>
    <row r="117">
      <c r="A117" s="15" t="n">
        <v>690679840</v>
      </c>
      <c r="B117" s="16" t="inlineStr">
        <is>
          <t>MUSASHI SEIMITSU INDUSTRY CO LTD</t>
        </is>
      </c>
      <c r="C117" s="17" t="n">
        <v>2</v>
      </c>
      <c r="D117" s="17" t="inlineStr">
        <is>
          <t>FY Mar2025</t>
        </is>
      </c>
      <c r="E117" s="18" t="n">
        <v>2480000000</v>
      </c>
      <c r="F117" s="18" t="n">
        <v>120000000</v>
      </c>
      <c r="G117" s="18" t="n">
        <v>115000000</v>
      </c>
      <c r="H117" s="19">
        <f>IF(OR(E117="",F117=""),"",F117/E117)</f>
        <v/>
      </c>
      <c r="I117" s="19">
        <f>IF(OR(E117="",G117=""),"",G117/E117)</f>
        <v/>
      </c>
      <c r="J117" s="19">
        <f>IF(OR(H117="",I117=""),"",H117+I117)</f>
        <v/>
      </c>
      <c r="K117" s="20" t="inlineStr">
        <is>
          <t>Toyota, Honda, Mitsubishi, Suzuki, General Motors</t>
        </is>
      </c>
      <c r="L117" s="20" t="inlineStr">
        <is>
          <t>Forged steel parts, differential gears, EV drivetrain components</t>
        </is>
      </c>
      <c r="M117" s="17" t="inlineStr">
        <is>
          <t>FY Mar2025</t>
        </is>
      </c>
      <c r="N117" s="20" t="inlineStr">
        <is>
          <t>Musashi Seimitsu FY2024 Annual Report (JPY ~370B)</t>
        </is>
      </c>
    </row>
    <row r="118">
      <c r="A118" s="9" t="n">
        <v>6092555</v>
      </c>
      <c r="B118" s="10" t="inlineStr">
        <is>
          <t>MODINE MANUFACTURING CO</t>
        </is>
      </c>
      <c r="C118" s="11" t="n">
        <v>2</v>
      </c>
      <c r="D118" s="11" t="inlineStr">
        <is>
          <t>FY Mar2025</t>
        </is>
      </c>
      <c r="E118" s="12" t="n">
        <v>2454000000</v>
      </c>
      <c r="F118" s="12" t="n">
        <v>185000000</v>
      </c>
      <c r="G118" s="12" t="n">
        <v>280000000</v>
      </c>
      <c r="H118" s="13">
        <f>IF(OR(E118="",F118=""),"",F118/E118)</f>
        <v/>
      </c>
      <c r="I118" s="13">
        <f>IF(OR(E118="",G118=""),"",G118/E118)</f>
        <v/>
      </c>
      <c r="J118" s="13">
        <f>IF(OR(H118="",I118=""),"",H118+I118)</f>
        <v/>
      </c>
      <c r="K118" s="14" t="inlineStr">
        <is>
          <t>Stellantis, Ford, Tesla</t>
        </is>
      </c>
      <c r="L118" s="14" t="inlineStr">
        <is>
          <t>Radiators, oil coolers, charge air coolers, EV thermal modules</t>
        </is>
      </c>
      <c r="M118" s="11" t="inlineStr">
        <is>
          <t>FY Mar2025</t>
        </is>
      </c>
      <c r="N118" s="14" t="inlineStr">
        <is>
          <t>Modine FY2024 10-K</t>
        </is>
      </c>
    </row>
    <row r="119">
      <c r="A119" s="15" t="n">
        <v>266873780</v>
      </c>
      <c r="B119" s="16" t="inlineStr">
        <is>
          <t>ARKEMA</t>
        </is>
      </c>
      <c r="C119" s="17" t="n">
        <v>2</v>
      </c>
      <c r="D119" s="17" t="inlineStr">
        <is>
          <t>Q4 2025</t>
        </is>
      </c>
      <c r="E119" s="18" t="n">
        <v>2412607342</v>
      </c>
      <c r="F119" s="18" t="n">
        <v>244126064</v>
      </c>
      <c r="G119" s="18" t="n">
        <v>28653294</v>
      </c>
      <c r="H119" s="19">
        <f>IF(OR(E119="",F119=""),"",F119/E119)</f>
        <v/>
      </c>
      <c r="I119" s="19">
        <f>IF(OR(E119="",G119=""),"",G119/E119)</f>
        <v/>
      </c>
      <c r="J119" s="19">
        <f>IF(OR(H119="",I119=""),"",H119+I119)</f>
        <v/>
      </c>
      <c r="K119" s="20" t="inlineStr">
        <is>
          <t>Volkswagen, BMW, Stellantis</t>
        </is>
      </c>
      <c r="L119" s="20" t="inlineStr">
        <is>
          <t>Specialty polymer powders, bio-based polyamides, auto lightweighting materials</t>
        </is>
      </c>
      <c r="M119" s="17" t="inlineStr">
        <is>
          <t>Q4 2025</t>
        </is>
      </c>
      <c r="N119" s="20" t="inlineStr">
        <is>
          <t>Yahoo Finance (AKE.PA)</t>
        </is>
      </c>
    </row>
    <row r="120">
      <c r="A120" s="9" t="n">
        <v>353957822</v>
      </c>
      <c r="B120" s="10" t="inlineStr">
        <is>
          <t>SSAB AB</t>
        </is>
      </c>
      <c r="C120" s="11" t="n">
        <v>2</v>
      </c>
      <c r="D120" s="11" t="inlineStr">
        <is>
          <t>Q4 2025</t>
        </is>
      </c>
      <c r="E120" s="12" t="n">
        <v>2351201810</v>
      </c>
      <c r="F120" s="12" t="n">
        <v>170601995</v>
      </c>
      <c r="G120" s="12" t="n">
        <v>77962134</v>
      </c>
      <c r="H120" s="13">
        <f>IF(OR(E120="",F120=""),"",F120/E120)</f>
        <v/>
      </c>
      <c r="I120" s="13">
        <f>IF(OR(E120="",G120=""),"",G120/E120)</f>
        <v/>
      </c>
      <c r="J120" s="13">
        <f>IF(OR(H120="",I120=""),"",H120+I120)</f>
        <v/>
      </c>
      <c r="K120" s="14" t="inlineStr">
        <is>
          <t>Volvo</t>
        </is>
      </c>
      <c r="L120" s="14" t="inlineStr">
        <is>
          <t>High-strength steel sheet, wear-resistant steel, structural steel</t>
        </is>
      </c>
      <c r="M120" s="11" t="inlineStr">
        <is>
          <t>Q4 2025</t>
        </is>
      </c>
      <c r="N120" s="14" t="inlineStr">
        <is>
          <t>Yahoo Finance (SSAB-A.ST)</t>
        </is>
      </c>
    </row>
    <row r="121">
      <c r="A121" s="15" t="n">
        <v>5212246</v>
      </c>
      <c r="B121" s="16" t="inlineStr">
        <is>
          <t>LITTELFUSE INC</t>
        </is>
      </c>
      <c r="C121" s="17" t="n">
        <v>2</v>
      </c>
      <c r="D121" s="17" t="inlineStr">
        <is>
          <t>FY2024</t>
        </is>
      </c>
      <c r="E121" s="18" t="n">
        <v>2322000000</v>
      </c>
      <c r="F121" s="18" t="n">
        <v>198000000</v>
      </c>
      <c r="G121" s="18" t="n">
        <v>155000000</v>
      </c>
      <c r="H121" s="19">
        <f>IF(OR(E121="",F121=""),"",F121/E121)</f>
        <v/>
      </c>
      <c r="I121" s="19">
        <f>IF(OR(E121="",G121=""),"",G121/E121)</f>
        <v/>
      </c>
      <c r="J121" s="19">
        <f>IF(OR(H121="",I121=""),"",H121+I121)</f>
        <v/>
      </c>
      <c r="K121" s="20" t="inlineStr">
        <is>
          <t>Tesla</t>
        </is>
      </c>
      <c r="L121" s="20" t="inlineStr">
        <is>
          <t>Automotive fuses, circuit protection, EV contactors, sensors</t>
        </is>
      </c>
      <c r="M121" s="17" t="inlineStr">
        <is>
          <t>FY2024</t>
        </is>
      </c>
      <c r="N121" s="20" t="inlineStr">
        <is>
          <t>Littelfuse 2024 10-K</t>
        </is>
      </c>
    </row>
    <row r="122">
      <c r="A122" s="9" t="n">
        <v>530633841</v>
      </c>
      <c r="B122" s="10" t="inlineStr">
        <is>
          <t>GUANGDONG HONGTU TECHNOLOGY HOLDING</t>
        </is>
      </c>
      <c r="C122" s="11" t="n">
        <v>2</v>
      </c>
      <c r="D122" s="11" t="inlineStr">
        <is>
          <t>Q2 2025</t>
        </is>
      </c>
      <c r="E122" s="12" t="n">
        <v>2171421916</v>
      </c>
      <c r="F122" s="12" t="n">
        <v>881170</v>
      </c>
      <c r="G122" s="12" t="n">
        <v>77277073</v>
      </c>
      <c r="H122" s="13">
        <f>IF(OR(E122="",F122=""),"",F122/E122)</f>
        <v/>
      </c>
      <c r="I122" s="13">
        <f>IF(OR(E122="",G122=""),"",G122/E122)</f>
        <v/>
      </c>
      <c r="J122" s="13">
        <f>IF(OR(H122="",I122=""),"",H122+I122)</f>
        <v/>
      </c>
      <c r="K122" s="14" t="inlineStr">
        <is>
          <t>Tesla</t>
        </is>
      </c>
      <c r="L122" s="14" t="inlineStr">
        <is>
          <t>Aluminum die castings, EV structural parts, battery enclosures</t>
        </is>
      </c>
      <c r="M122" s="11" t="inlineStr">
        <is>
          <t>Q2 2025</t>
        </is>
      </c>
      <c r="N122" s="14" t="inlineStr">
        <is>
          <t>Yahoo Finance (002101.SZ)</t>
        </is>
      </c>
    </row>
    <row r="123">
      <c r="A123" s="15" t="n">
        <v>483367074</v>
      </c>
      <c r="B123" s="16" t="inlineStr">
        <is>
          <t>SFS GROUP AG</t>
        </is>
      </c>
      <c r="C123" s="17" t="n">
        <v>2</v>
      </c>
      <c r="D123" s="17" t="inlineStr">
        <is>
          <t>FY2024</t>
        </is>
      </c>
      <c r="E123" s="18" t="n">
        <v>2140000000</v>
      </c>
      <c r="F123" s="18" t="n">
        <v>120000000</v>
      </c>
      <c r="G123" s="18" t="n">
        <v>260000000</v>
      </c>
      <c r="H123" s="19">
        <f>IF(OR(E123="",F123=""),"",F123/E123)</f>
        <v/>
      </c>
      <c r="I123" s="19">
        <f>IF(OR(E123="",G123=""),"",G123/E123)</f>
        <v/>
      </c>
      <c r="J123" s="19">
        <f>IF(OR(H123="",I123=""),"",H123+I123)</f>
        <v/>
      </c>
      <c r="K123" s="20" t="inlineStr">
        <is>
          <t>Volkswagen</t>
        </is>
      </c>
      <c r="L123" s="20" t="inlineStr">
        <is>
          <t>Precision metal fasteners, engineered components for automotive</t>
        </is>
      </c>
      <c r="M123" s="17" t="inlineStr">
        <is>
          <t>FY2024</t>
        </is>
      </c>
      <c r="N123" s="20" t="inlineStr">
        <is>
          <t>SFS Group 2024 Annual Report (CHF ~1.9B)</t>
        </is>
      </c>
    </row>
    <row r="124">
      <c r="A124" s="9" t="n">
        <v>690601307</v>
      </c>
      <c r="B124" s="10" t="inlineStr">
        <is>
          <t>NIFCO INC</t>
        </is>
      </c>
      <c r="C124" s="11" t="n">
        <v>2</v>
      </c>
      <c r="D124" s="11" t="inlineStr">
        <is>
          <t>FY Mar2025</t>
        </is>
      </c>
      <c r="E124" s="12" t="n">
        <v>2140000000</v>
      </c>
      <c r="F124" s="12" t="n">
        <v>115000000</v>
      </c>
      <c r="G124" s="12" t="n">
        <v>210000000</v>
      </c>
      <c r="H124" s="13">
        <f>IF(OR(E124="",F124=""),"",F124/E124)</f>
        <v/>
      </c>
      <c r="I124" s="13">
        <f>IF(OR(E124="",G124=""),"",G124/E124)</f>
        <v/>
      </c>
      <c r="J124" s="13">
        <f>IF(OR(H124="",I124=""),"",H124+I124)</f>
        <v/>
      </c>
      <c r="K124" s="14" t="inlineStr">
        <is>
          <t>General Motors, Ford, Toyota, Stellantis, Tesla, Renault</t>
        </is>
      </c>
      <c r="L124" s="14" t="inlineStr">
        <is>
          <t>Plastic fasteners, clips, retainers, trim attachment parts</t>
        </is>
      </c>
      <c r="M124" s="11" t="inlineStr">
        <is>
          <t>FY Mar2025</t>
        </is>
      </c>
      <c r="N124" s="14" t="inlineStr">
        <is>
          <t>Nifco FY2024 Annual Report (JPY ~319B)</t>
        </is>
      </c>
    </row>
    <row r="125">
      <c r="A125" s="15" t="n">
        <v>690658596</v>
      </c>
      <c r="B125" s="16" t="inlineStr">
        <is>
          <t>MITSUBA CORP</t>
        </is>
      </c>
      <c r="C125" s="17" t="n">
        <v>2</v>
      </c>
      <c r="D125" s="17" t="inlineStr">
        <is>
          <t>FY Mar2025</t>
        </is>
      </c>
      <c r="E125" s="18" t="n">
        <v>2060000000</v>
      </c>
      <c r="F125" s="18" t="n">
        <v>90000000</v>
      </c>
      <c r="G125" s="18" t="n">
        <v>68000000</v>
      </c>
      <c r="H125" s="19">
        <f>IF(OR(E125="",F125=""),"",F125/E125)</f>
        <v/>
      </c>
      <c r="I125" s="19">
        <f>IF(OR(E125="",G125=""),"",G125/E125)</f>
        <v/>
      </c>
      <c r="J125" s="19">
        <f>IF(OR(H125="",I125=""),"",H125+I125)</f>
        <v/>
      </c>
      <c r="K125" s="20" t="inlineStr">
        <is>
          <t>Honda, Nissan, Volkswagen, BMW</t>
        </is>
      </c>
      <c r="L125" s="20" t="inlineStr">
        <is>
          <t>Starter motors, wiper systems, blower motors, door actuators</t>
        </is>
      </c>
      <c r="M125" s="17" t="inlineStr">
        <is>
          <t>FY Mar2025</t>
        </is>
      </c>
      <c r="N125" s="20" t="inlineStr">
        <is>
          <t>Mitsuba FY2024 Annual Report (JPY ~307B)</t>
        </is>
      </c>
    </row>
    <row r="126">
      <c r="A126" s="9" t="n">
        <v>544792021</v>
      </c>
      <c r="B126" s="10" t="inlineStr">
        <is>
          <t>SHANGHAI BAOLONG AUTOMOTIVE CORP</t>
        </is>
      </c>
      <c r="C126" s="11" t="n">
        <v>2</v>
      </c>
      <c r="D126" s="11" t="inlineStr">
        <is>
          <t>Q2 2025</t>
        </is>
      </c>
      <c r="E126" s="12" t="n">
        <v>2044793138</v>
      </c>
      <c r="F126" s="12" t="n">
        <v>-57318825</v>
      </c>
      <c r="G126" s="12" t="n">
        <v>98274012</v>
      </c>
      <c r="H126" s="13">
        <f>IF(OR(E126="",F126=""),"",F126/E126)</f>
        <v/>
      </c>
      <c r="I126" s="13">
        <f>IF(OR(E126="",G126=""),"",G126/E126)</f>
        <v/>
      </c>
      <c r="J126" s="13">
        <f>IF(OR(H126="",I126=""),"",H126+I126)</f>
        <v/>
      </c>
      <c r="K126" s="14" t="inlineStr">
        <is>
          <t>General Motors, Ford, Chrysler, Volkswagen, Mercedes</t>
        </is>
      </c>
      <c r="L126" s="14" t="inlineStr">
        <is>
          <t>TPMS sensors, valves, inflators, EV thermal expansion valves</t>
        </is>
      </c>
      <c r="M126" s="11" t="inlineStr">
        <is>
          <t>Q2 2025</t>
        </is>
      </c>
      <c r="N126" s="14" t="inlineStr">
        <is>
          <t>Yahoo Finance (603197.SS)</t>
        </is>
      </c>
    </row>
    <row r="127">
      <c r="A127" s="15" t="n">
        <v>690538723</v>
      </c>
      <c r="B127" s="16" t="inlineStr">
        <is>
          <t>TOKAI RIKA CO LTD</t>
        </is>
      </c>
      <c r="C127" s="17" t="n">
        <v>2</v>
      </c>
      <c r="D127" s="17" t="inlineStr">
        <is>
          <t>FY Mar2025</t>
        </is>
      </c>
      <c r="E127" s="18" t="n">
        <v>1980000000</v>
      </c>
      <c r="F127" s="18" t="n">
        <v>95000000</v>
      </c>
      <c r="G127" s="18" t="n">
        <v>120000000</v>
      </c>
      <c r="H127" s="19">
        <f>IF(OR(E127="",F127=""),"",F127/E127)</f>
        <v/>
      </c>
      <c r="I127" s="19">
        <f>IF(OR(E127="",G127=""),"",G127/E127)</f>
        <v/>
      </c>
      <c r="J127" s="19">
        <f>IF(OR(H127="",I127=""),"",H127+I127)</f>
        <v/>
      </c>
      <c r="K127" s="20" t="inlineStr">
        <is>
          <t>Toyota, Suzuki, Nissan, General Motors, Ford, Subaru</t>
        </is>
      </c>
      <c r="L127" s="20" t="inlineStr">
        <is>
          <t>Steering switches, turn signal levers, shift lock, ignition switches</t>
        </is>
      </c>
      <c r="M127" s="17" t="inlineStr">
        <is>
          <t>FY Mar2025</t>
        </is>
      </c>
      <c r="N127" s="20" t="inlineStr">
        <is>
          <t>Tokai Rika FY2024 Annual Report (JPY ~296B)</t>
        </is>
      </c>
    </row>
    <row r="128">
      <c r="A128" s="9" t="n">
        <v>690554894</v>
      </c>
      <c r="B128" s="10" t="inlineStr">
        <is>
          <t>EXEDY CORPORATION</t>
        </is>
      </c>
      <c r="C128" s="11" t="n">
        <v>2</v>
      </c>
      <c r="D128" s="11" t="inlineStr">
        <is>
          <t>FY Mar2025</t>
        </is>
      </c>
      <c r="E128" s="12" t="n">
        <v>1876000000</v>
      </c>
      <c r="F128" s="12" t="n"/>
      <c r="G128" s="12" t="n">
        <v>134000000</v>
      </c>
      <c r="H128" s="13">
        <f>IF(OR(E128="",F128=""),"",F128/E128)</f>
        <v/>
      </c>
      <c r="I128" s="13">
        <f>IF(OR(E128="",G128=""),"",G128/E128)</f>
        <v/>
      </c>
      <c r="J128" s="13">
        <f>IF(OR(H128="",I128=""),"",H128+I128)</f>
        <v/>
      </c>
      <c r="K128" s="14" t="inlineStr">
        <is>
          <t>Toyota, Honda, Nissan, Subaru</t>
        </is>
      </c>
      <c r="L128" s="14" t="inlineStr">
        <is>
          <t>Clutch covers, clutch discs, torque converters, flywheels</t>
        </is>
      </c>
      <c r="M128" s="11" t="inlineStr">
        <is>
          <t>FY Mar2025</t>
        </is>
      </c>
      <c r="N128" s="14" t="inlineStr">
        <is>
          <t>Exedy FY2024 Annual Report</t>
        </is>
      </c>
    </row>
    <row r="129">
      <c r="A129" s="15" t="n">
        <v>690555214</v>
      </c>
      <c r="B129" s="16" t="inlineStr">
        <is>
          <t>TSUBAKIMOTO CHAIN CO</t>
        </is>
      </c>
      <c r="C129" s="17" t="n">
        <v>2</v>
      </c>
      <c r="D129" s="17" t="inlineStr">
        <is>
          <t>FY Mar2025</t>
        </is>
      </c>
      <c r="E129" s="18" t="n">
        <v>1820000000</v>
      </c>
      <c r="F129" s="18" t="n">
        <v>109000000</v>
      </c>
      <c r="G129" s="18" t="n">
        <v>136000000</v>
      </c>
      <c r="H129" s="19">
        <f>IF(OR(E129="",F129=""),"",F129/E129)</f>
        <v/>
      </c>
      <c r="I129" s="19">
        <f>IF(OR(E129="",G129=""),"",G129/E129)</f>
        <v/>
      </c>
      <c r="J129" s="19">
        <f>IF(OR(H129="",I129=""),"",H129+I129)</f>
        <v/>
      </c>
      <c r="K129" s="20" t="inlineStr">
        <is>
          <t>Toyota, Ford, General Motors, Nissan, Honda</t>
        </is>
      </c>
      <c r="L129" s="20" t="inlineStr">
        <is>
          <t>Engine timing chains, drive chains, cam phasers, automotive chain systems</t>
        </is>
      </c>
      <c r="M129" s="17" t="inlineStr">
        <is>
          <t>FY Mar2025</t>
        </is>
      </c>
      <c r="N129" s="20" t="inlineStr">
        <is>
          <t>Tsubakimoto Chain FY2024 Annual Report (JPY ~272B)</t>
        </is>
      </c>
    </row>
    <row r="130">
      <c r="A130" s="9" t="n">
        <v>690544341</v>
      </c>
      <c r="B130" s="10" t="inlineStr">
        <is>
          <t>TOPY INDUSTRIES LTD</t>
        </is>
      </c>
      <c r="C130" s="11" t="n">
        <v>2</v>
      </c>
      <c r="D130" s="11" t="inlineStr">
        <is>
          <t>FY Mar2025</t>
        </is>
      </c>
      <c r="E130" s="12" t="n">
        <v>1809000000</v>
      </c>
      <c r="F130" s="12" t="n"/>
      <c r="G130" s="12" t="n">
        <v>80000000</v>
      </c>
      <c r="H130" s="13">
        <f>IF(OR(E130="",F130=""),"",F130/E130)</f>
        <v/>
      </c>
      <c r="I130" s="13">
        <f>IF(OR(E130="",G130=""),"",G130/E130)</f>
        <v/>
      </c>
      <c r="J130" s="13">
        <f>IF(OR(H130="",I130=""),"",H130+I130)</f>
        <v/>
      </c>
      <c r="K130" s="14" t="inlineStr">
        <is>
          <t>General Motors, Toyota, Ford, Honda, Nissan, Stellantis</t>
        </is>
      </c>
      <c r="L130" s="14" t="inlineStr">
        <is>
          <t>Steel wheels, wheel rims, forged products</t>
        </is>
      </c>
      <c r="M130" s="11" t="inlineStr">
        <is>
          <t>FY Mar2025</t>
        </is>
      </c>
      <c r="N130" s="14" t="inlineStr">
        <is>
          <t>Topy Industries FY2024 Annual Report</t>
        </is>
      </c>
    </row>
    <row r="131">
      <c r="A131" s="15" t="n">
        <v>65855363</v>
      </c>
      <c r="B131" s="16" t="inlineStr">
        <is>
          <t>GENTEX CORP</t>
        </is>
      </c>
      <c r="C131" s="17" t="n">
        <v>2</v>
      </c>
      <c r="D131" s="17" t="inlineStr">
        <is>
          <t>Q3 2025</t>
        </is>
      </c>
      <c r="E131" s="18" t="n">
        <v>1771676766</v>
      </c>
      <c r="F131" s="18" t="n">
        <v>90494117</v>
      </c>
      <c r="G131" s="18" t="n">
        <v>369958486</v>
      </c>
      <c r="H131" s="19">
        <f>IF(OR(E131="",F131=""),"",F131/E131)</f>
        <v/>
      </c>
      <c r="I131" s="19">
        <f>IF(OR(E131="",G131=""),"",G131/E131)</f>
        <v/>
      </c>
      <c r="J131" s="19">
        <f>IF(OR(H131="",I131=""),"",H131+I131)</f>
        <v/>
      </c>
      <c r="K131" s="20" t="inlineStr">
        <is>
          <t>Volkswagen, Mercedes, BMW, Toyota</t>
        </is>
      </c>
      <c r="L131" s="20" t="inlineStr">
        <is>
          <t>Auto-dimming mirrors, HomeLink garage transmitter, full display mirrors</t>
        </is>
      </c>
      <c r="M131" s="17" t="inlineStr">
        <is>
          <t>Q3 2025</t>
        </is>
      </c>
      <c r="N131" s="20" t="inlineStr">
        <is>
          <t>SEC 10-Q</t>
        </is>
      </c>
    </row>
    <row r="132">
      <c r="A132" s="9" t="n">
        <v>6477301</v>
      </c>
      <c r="B132" s="10" t="inlineStr">
        <is>
          <t>DONALDSON COMPANY INC</t>
        </is>
      </c>
      <c r="C132" s="11" t="n">
        <v>2</v>
      </c>
      <c r="D132" s="11" t="inlineStr">
        <is>
          <t>Q2 2026</t>
        </is>
      </c>
      <c r="E132" s="12" t="n">
        <v>1770100000</v>
      </c>
      <c r="F132" s="12" t="n">
        <v>325300000</v>
      </c>
      <c r="G132" s="12" t="n">
        <v>256300000</v>
      </c>
      <c r="H132" s="13">
        <f>IF(OR(E132="",F132=""),"",F132/E132)</f>
        <v/>
      </c>
      <c r="I132" s="13">
        <f>IF(OR(E132="",G132=""),"",G132/E132)</f>
        <v/>
      </c>
      <c r="J132" s="13">
        <f>IF(OR(H132="",I132=""),"",H132+I132)</f>
        <v/>
      </c>
      <c r="K132" s="14" t="inlineStr">
        <is>
          <t>Ford, Volvo</t>
        </is>
      </c>
      <c r="L132" s="14" t="inlineStr">
        <is>
          <t>Engine air filtration, fuel filtration, crankcase ventilation</t>
        </is>
      </c>
      <c r="M132" s="11" t="inlineStr">
        <is>
          <t>Q2 2026</t>
        </is>
      </c>
      <c r="N132" s="14" t="inlineStr">
        <is>
          <t>SEC 10-Q</t>
        </is>
      </c>
    </row>
    <row r="133">
      <c r="A133" s="15" t="n">
        <v>690661756</v>
      </c>
      <c r="B133" s="16" t="inlineStr">
        <is>
          <t>FCC CO LTD</t>
        </is>
      </c>
      <c r="C133" s="17" t="n">
        <v>2</v>
      </c>
      <c r="D133" s="17" t="inlineStr">
        <is>
          <t>FY Mar2025</t>
        </is>
      </c>
      <c r="E133" s="18" t="n">
        <v>1742000000</v>
      </c>
      <c r="F133" s="18" t="n"/>
      <c r="G133" s="18" t="n">
        <v>147000000</v>
      </c>
      <c r="H133" s="19">
        <f>IF(OR(E133="",F133=""),"",F133/E133)</f>
        <v/>
      </c>
      <c r="I133" s="19">
        <f>IF(OR(E133="",G133=""),"",G133/E133)</f>
        <v/>
      </c>
      <c r="J133" s="19">
        <f>IF(OR(H133="",I133=""),"",H133+I133)</f>
        <v/>
      </c>
      <c r="K133" s="20" t="inlineStr">
        <is>
          <t>Honda, Toyota, Ford, General Motors</t>
        </is>
      </c>
      <c r="L133" s="20" t="inlineStr">
        <is>
          <t>Clutch systems, multi-plate clutch packs, ATM clutches</t>
        </is>
      </c>
      <c r="M133" s="17" t="inlineStr">
        <is>
          <t>FY Mar2025</t>
        </is>
      </c>
      <c r="N133" s="20" t="inlineStr">
        <is>
          <t>FCC FY2024 Annual Report (JPY ~260B)</t>
        </is>
      </c>
    </row>
    <row r="134">
      <c r="A134" s="9" t="n">
        <v>690535927</v>
      </c>
      <c r="B134" s="10" t="inlineStr">
        <is>
          <t>AKEBONO BRAKE INDUSTRY CO LTD</t>
        </is>
      </c>
      <c r="C134" s="11" t="n">
        <v>2</v>
      </c>
      <c r="D134" s="11" t="inlineStr">
        <is>
          <t>FY Mar2025</t>
        </is>
      </c>
      <c r="E134" s="12" t="n">
        <v>1675000000</v>
      </c>
      <c r="F134" s="12" t="n"/>
      <c r="G134" s="12" t="n">
        <v>54000000</v>
      </c>
      <c r="H134" s="13">
        <f>IF(OR(E134="",F134=""),"",F134/E134)</f>
        <v/>
      </c>
      <c r="I134" s="13">
        <f>IF(OR(E134="",G134=""),"",G134/E134)</f>
        <v/>
      </c>
      <c r="J134" s="13">
        <f>IF(OR(H134="",I134=""),"",H134+I134)</f>
        <v/>
      </c>
      <c r="K134" s="14" t="inlineStr">
        <is>
          <t>Toyota, Honda, Nissan, Subaru, Mazda, General Motors</t>
        </is>
      </c>
      <c r="L134" s="14" t="inlineStr">
        <is>
          <t>Disc brake pads, drum brake shoes, brake calipers, brake assemblies</t>
        </is>
      </c>
      <c r="M134" s="11" t="inlineStr">
        <is>
          <t>FY Mar2025</t>
        </is>
      </c>
      <c r="N134" s="14" t="inlineStr">
        <is>
          <t>Akebono Brake FY2024 Annual Report</t>
        </is>
      </c>
    </row>
    <row r="135">
      <c r="A135" s="15" t="n">
        <v>93715316</v>
      </c>
      <c r="B135" s="16" t="inlineStr">
        <is>
          <t>DORMAN PRODUCTS INC</t>
        </is>
      </c>
      <c r="C135" s="17" t="n">
        <v>2</v>
      </c>
      <c r="D135" s="17" t="inlineStr">
        <is>
          <t>Q3 2025</t>
        </is>
      </c>
      <c r="E135" s="18" t="n">
        <v>1475425000</v>
      </c>
      <c r="F135" s="18" t="n">
        <v>378489000</v>
      </c>
      <c r="G135" s="18" t="n">
        <v>206161000</v>
      </c>
      <c r="H135" s="19">
        <f>IF(OR(E135="",F135=""),"",F135/E135)</f>
        <v/>
      </c>
      <c r="I135" s="19">
        <f>IF(OR(E135="",G135=""),"",G135/E135)</f>
        <v/>
      </c>
      <c r="J135" s="19">
        <f>IF(OR(H135="",I135=""),"",H135+I135)</f>
        <v/>
      </c>
      <c r="K135" s="20" t="inlineStr">
        <is>
          <t>Ford, Stellantis, General Motors</t>
        </is>
      </c>
      <c r="L135" s="20" t="inlineStr">
        <is>
          <t>Aftermarket auto parts (brakes, cooling, electrical, chassis)</t>
        </is>
      </c>
      <c r="M135" s="17" t="inlineStr">
        <is>
          <t>Q3 2025</t>
        </is>
      </c>
      <c r="N135" s="20" t="inlineStr">
        <is>
          <t>SEC 10-Q</t>
        </is>
      </c>
    </row>
    <row r="136">
      <c r="A136" s="9" t="n">
        <v>79236657</v>
      </c>
      <c r="B136" s="10" t="inlineStr">
        <is>
          <t>TIMKENSTEEL CORPORATION</t>
        </is>
      </c>
      <c r="C136" s="11" t="n">
        <v>2</v>
      </c>
      <c r="D136" s="11" t="inlineStr">
        <is>
          <t>FY2024</t>
        </is>
      </c>
      <c r="E136" s="12" t="n">
        <v>1379000000</v>
      </c>
      <c r="F136" s="12" t="n">
        <v>81000000</v>
      </c>
      <c r="G136" s="12" t="n">
        <v>29000000</v>
      </c>
      <c r="H136" s="13">
        <f>IF(OR(E136="",F136=""),"",F136/E136)</f>
        <v/>
      </c>
      <c r="I136" s="13">
        <f>IF(OR(E136="",G136=""),"",G136/E136)</f>
        <v/>
      </c>
      <c r="J136" s="13">
        <f>IF(OR(H136="",I136=""),"",H136+I136)</f>
        <v/>
      </c>
      <c r="K136" s="14" t="inlineStr">
        <is>
          <t>General Motors, Ford, Stellantis</t>
        </is>
      </c>
      <c r="L136" s="14" t="inlineStr">
        <is>
          <t>Specialty steel bars, seamless steel tubes for drivetrain applications</t>
        </is>
      </c>
      <c r="M136" s="11" t="inlineStr">
        <is>
          <t>FY2024</t>
        </is>
      </c>
      <c r="N136" s="14" t="inlineStr">
        <is>
          <t>TimkenSteel 2024 10-K</t>
        </is>
      </c>
    </row>
    <row r="137">
      <c r="A137" s="15" t="n">
        <v>690539358</v>
      </c>
      <c r="B137" s="16" t="inlineStr">
        <is>
          <t>HI-LEX CORP</t>
        </is>
      </c>
      <c r="C137" s="17" t="n">
        <v>2</v>
      </c>
      <c r="D137" s="17" t="inlineStr">
        <is>
          <t>FY Mar2025</t>
        </is>
      </c>
      <c r="E137" s="18" t="n">
        <v>1320000000</v>
      </c>
      <c r="F137" s="18" t="n">
        <v>58000000</v>
      </c>
      <c r="G137" s="18" t="n">
        <v>70000000</v>
      </c>
      <c r="H137" s="19">
        <f>IF(OR(E137="",F137=""),"",F137/E137)</f>
        <v/>
      </c>
      <c r="I137" s="19">
        <f>IF(OR(E137="",G137=""),"",G137/E137)</f>
        <v/>
      </c>
      <c r="J137" s="19">
        <f>IF(OR(H137="",I137=""),"",H137+I137)</f>
        <v/>
      </c>
      <c r="K137" s="20" t="inlineStr">
        <is>
          <t>Ford, General Motors, Stellantis, Toyota, Honda, Mercedes</t>
        </is>
      </c>
      <c r="L137" s="20" t="inlineStr">
        <is>
          <t>Control cables, window regulator cables, seat cables</t>
        </is>
      </c>
      <c r="M137" s="17" t="inlineStr">
        <is>
          <t>FY Mar2025</t>
        </is>
      </c>
      <c r="N137" s="20" t="inlineStr">
        <is>
          <t>Hi-Lex FY2024 Annual Report (JPY ~197B)</t>
        </is>
      </c>
    </row>
    <row r="138">
      <c r="A138" s="9" t="n">
        <v>49746014</v>
      </c>
      <c r="B138" s="10" t="inlineStr">
        <is>
          <t>PARK-OHIO HOLDINGS CORP</t>
        </is>
      </c>
      <c r="C138" s="11" t="n">
        <v>2</v>
      </c>
      <c r="D138" s="11" t="inlineStr">
        <is>
          <t>Q3 2025</t>
        </is>
      </c>
      <c r="E138" s="12" t="n">
        <v>1267800000</v>
      </c>
      <c r="F138" s="12" t="n">
        <v>142300000</v>
      </c>
      <c r="G138" s="12" t="n">
        <v>72200000</v>
      </c>
      <c r="H138" s="13">
        <f>IF(OR(E138="",F138=""),"",F138/E138)</f>
        <v/>
      </c>
      <c r="I138" s="13">
        <f>IF(OR(E138="",G138=""),"",G138/E138)</f>
        <v/>
      </c>
      <c r="J138" s="13">
        <f>IF(OR(H138="",I138=""),"",H138+I138)</f>
        <v/>
      </c>
      <c r="K138" s="14" t="inlineStr">
        <is>
          <t>General Motors, Ford, Stellantis</t>
        </is>
      </c>
      <c r="L138" s="14" t="inlineStr">
        <is>
          <t>Engineered fasteners, assembly components, supply chain management</t>
        </is>
      </c>
      <c r="M138" s="11" t="inlineStr">
        <is>
          <t>Q3 2025</t>
        </is>
      </c>
      <c r="N138" s="14" t="inlineStr">
        <is>
          <t>SEC 10-Q</t>
        </is>
      </c>
    </row>
    <row r="139">
      <c r="A139" s="15" t="n">
        <v>690578364</v>
      </c>
      <c r="B139" s="16" t="inlineStr">
        <is>
          <t>AISAN INDUSTRY CO LTD</t>
        </is>
      </c>
      <c r="C139" s="17" t="n">
        <v>2</v>
      </c>
      <c r="D139" s="17" t="inlineStr">
        <is>
          <t>FY Mar2025</t>
        </is>
      </c>
      <c r="E139" s="18" t="n">
        <v>1210000000</v>
      </c>
      <c r="F139" s="18" t="n">
        <v>62000000</v>
      </c>
      <c r="G139" s="18" t="n">
        <v>72000000</v>
      </c>
      <c r="H139" s="19">
        <f>IF(OR(E139="",F139=""),"",F139/E139)</f>
        <v/>
      </c>
      <c r="I139" s="19">
        <f>IF(OR(E139="",G139=""),"",G139/E139)</f>
        <v/>
      </c>
      <c r="J139" s="19">
        <f>IF(OR(H139="",I139=""),"",H139+I139)</f>
        <v/>
      </c>
      <c r="K139" s="20" t="inlineStr">
        <is>
          <t>Toyota, Renault, Nissan, Volvo, Suzuki</t>
        </is>
      </c>
      <c r="L139" s="20" t="inlineStr">
        <is>
          <t>Throttle bodies, fuel injection components, EGR systems</t>
        </is>
      </c>
      <c r="M139" s="17" t="inlineStr">
        <is>
          <t>FY Mar2025</t>
        </is>
      </c>
      <c r="N139" s="20" t="inlineStr">
        <is>
          <t>Aisan Industry FY2024 Annual Report (JPY ~181B)</t>
        </is>
      </c>
    </row>
    <row r="140">
      <c r="A140" s="9" t="n">
        <v>5092135</v>
      </c>
      <c r="B140" s="10" t="inlineStr">
        <is>
          <t>METHODE ELECTRONICS INC</t>
        </is>
      </c>
      <c r="C140" s="11" t="n">
        <v>2</v>
      </c>
      <c r="D140" s="11" t="inlineStr">
        <is>
          <t>FY May2024</t>
        </is>
      </c>
      <c r="E140" s="12" t="n">
        <v>1189600000</v>
      </c>
      <c r="F140" s="12" t="n">
        <v>109400000</v>
      </c>
      <c r="G140" s="12" t="n">
        <v>-147200000</v>
      </c>
      <c r="H140" s="13">
        <f>IF(OR(E140="",F140=""),"",F140/E140)</f>
        <v/>
      </c>
      <c r="I140" s="13">
        <f>IF(OR(E140="",G140=""),"",G140/E140)</f>
        <v/>
      </c>
      <c r="J140" s="13">
        <f>IF(OR(H140="",I140=""),"",H140+I140)</f>
        <v/>
      </c>
      <c r="K140" s="14" t="inlineStr">
        <is>
          <t>General Motors</t>
        </is>
      </c>
      <c r="L140" s="14" t="inlineStr">
        <is>
          <t>EV bus bars, LED lighting solutions, user interface controls, cable assemblies</t>
        </is>
      </c>
      <c r="M140" s="11" t="inlineStr">
        <is>
          <t>FY May2024</t>
        </is>
      </c>
      <c r="N140" s="14" t="inlineStr">
        <is>
          <t>Methode Electronics FY2024 10-K</t>
        </is>
      </c>
    </row>
    <row r="141">
      <c r="A141" s="15" t="n">
        <v>690845367</v>
      </c>
      <c r="B141" s="16" t="inlineStr">
        <is>
          <t>YOROZU CORP</t>
        </is>
      </c>
      <c r="C141" s="17" t="n">
        <v>2</v>
      </c>
      <c r="D141" s="17" t="inlineStr">
        <is>
          <t>FY Mar2025</t>
        </is>
      </c>
      <c r="E141" s="18" t="n">
        <v>1150000000</v>
      </c>
      <c r="F141" s="18" t="n">
        <v>52000000</v>
      </c>
      <c r="G141" s="18" t="n">
        <v>48000000</v>
      </c>
      <c r="H141" s="19">
        <f>IF(OR(E141="",F141=""),"",F141/E141)</f>
        <v/>
      </c>
      <c r="I141" s="19">
        <f>IF(OR(E141="",G141=""),"",G141/E141)</f>
        <v/>
      </c>
      <c r="J141" s="19">
        <f>IF(OR(H141="",I141=""),"",H141+I141)</f>
        <v/>
      </c>
      <c r="K141" s="20" t="inlineStr">
        <is>
          <t>General Motors, Toyota, Honda, Volkswagen, Nissan</t>
        </is>
      </c>
      <c r="L141" s="20" t="inlineStr">
        <is>
          <t>Suspension parts, cross members, front sub-frames</t>
        </is>
      </c>
      <c r="M141" s="17" t="inlineStr">
        <is>
          <t>FY Mar2025</t>
        </is>
      </c>
      <c r="N141" s="20" t="inlineStr">
        <is>
          <t>Yorozu FY2024 Annual Report (JPY ~171B)</t>
        </is>
      </c>
    </row>
    <row r="142">
      <c r="A142" s="9" t="n">
        <v>811393222</v>
      </c>
      <c r="B142" s="10" t="inlineStr">
        <is>
          <t>RASSINI SAB DE CV</t>
        </is>
      </c>
      <c r="C142" s="11" t="n">
        <v>2</v>
      </c>
      <c r="D142" s="11" t="inlineStr">
        <is>
          <t>FY2024</t>
        </is>
      </c>
      <c r="E142" s="12" t="n">
        <v>1060000000</v>
      </c>
      <c r="F142" s="12" t="n">
        <v>48000000</v>
      </c>
      <c r="G142" s="12" t="n">
        <v>120000000</v>
      </c>
      <c r="H142" s="13">
        <f>IF(OR(E142="",F142=""),"",F142/E142)</f>
        <v/>
      </c>
      <c r="I142" s="13">
        <f>IF(OR(E142="",G142=""),"",G142/E142)</f>
        <v/>
      </c>
      <c r="J142" s="13">
        <f>IF(OR(H142="",I142=""),"",H142+I142)</f>
        <v/>
      </c>
      <c r="K142" s="14" t="inlineStr">
        <is>
          <t>General Motors, Ford, Stellantis, Volkswagen, Toyota</t>
        </is>
      </c>
      <c r="L142" s="14" t="inlineStr">
        <is>
          <t>Leaf springs, coil springs, brake discs, front suspension systems</t>
        </is>
      </c>
      <c r="M142" s="11" t="inlineStr">
        <is>
          <t>FY2024</t>
        </is>
      </c>
      <c r="N142" s="14" t="inlineStr">
        <is>
          <t>Rassini 2024 Annual Report (MXN ~20B)</t>
        </is>
      </c>
    </row>
    <row r="143">
      <c r="A143" s="15" t="n">
        <v>810535872</v>
      </c>
      <c r="B143" s="16" t="inlineStr">
        <is>
          <t>GRUPO INDUSTRIAL SALTILLO SA DE CV</t>
        </is>
      </c>
      <c r="C143" s="17" t="n">
        <v>2</v>
      </c>
      <c r="D143" s="17" t="inlineStr">
        <is>
          <t>FY2024</t>
        </is>
      </c>
      <c r="E143" s="18" t="n">
        <v>980000000</v>
      </c>
      <c r="F143" s="18" t="n">
        <v>55000000</v>
      </c>
      <c r="G143" s="18" t="n">
        <v>90000000</v>
      </c>
      <c r="H143" s="19">
        <f>IF(OR(E143="",F143=""),"",F143/E143)</f>
        <v/>
      </c>
      <c r="I143" s="19">
        <f>IF(OR(E143="",G143=""),"",G143/E143)</f>
        <v/>
      </c>
      <c r="J143" s="19">
        <f>IF(OR(H143="",I143=""),"",H143+I143)</f>
        <v/>
      </c>
      <c r="K143" s="20" t="inlineStr">
        <is>
          <t>General Motors, Ford, Stellantis, Volkswagen, Nissan</t>
        </is>
      </c>
      <c r="L143" s="20" t="inlineStr">
        <is>
          <t>Aluminum engine blocks, cylinder heads, EV battery housings</t>
        </is>
      </c>
      <c r="M143" s="17" t="inlineStr">
        <is>
          <t>FY2024</t>
        </is>
      </c>
      <c r="N143" s="20" t="inlineStr">
        <is>
          <t>GIS 2024 Annual Report (MXN ~18.5B)</t>
        </is>
      </c>
    </row>
    <row r="144">
      <c r="A144" s="9" t="n">
        <v>690569579</v>
      </c>
      <c r="B144" s="10" t="inlineStr">
        <is>
          <t>AHRESTY CORP</t>
        </is>
      </c>
      <c r="C144" s="11" t="n">
        <v>2</v>
      </c>
      <c r="D144" s="11" t="inlineStr">
        <is>
          <t>FY Mar2025</t>
        </is>
      </c>
      <c r="E144" s="12" t="n">
        <v>960000000</v>
      </c>
      <c r="F144" s="12" t="n">
        <v>42000000</v>
      </c>
      <c r="G144" s="12" t="n">
        <v>38000000</v>
      </c>
      <c r="H144" s="13">
        <f>IF(OR(E144="",F144=""),"",F144/E144)</f>
        <v/>
      </c>
      <c r="I144" s="13">
        <f>IF(OR(E144="",G144=""),"",G144/E144)</f>
        <v/>
      </c>
      <c r="J144" s="13">
        <f>IF(OR(H144="",I144=""),"",H144+I144)</f>
        <v/>
      </c>
      <c r="K144" s="14" t="inlineStr">
        <is>
          <t>General Motors, Toyota, Honda, Nissan, Suzuki, Mazda</t>
        </is>
      </c>
      <c r="L144" s="14" t="inlineStr">
        <is>
          <t>Aluminum die castings, transmission cases, engine parts</t>
        </is>
      </c>
      <c r="M144" s="11" t="inlineStr">
        <is>
          <t>FY Mar2025</t>
        </is>
      </c>
      <c r="N144" s="14" t="inlineStr">
        <is>
          <t>Ahresty FY2024 Annual Report (JPY ~143B)</t>
        </is>
      </c>
    </row>
    <row r="145">
      <c r="A145" s="15" t="n">
        <v>210514501</v>
      </c>
      <c r="B145" s="16" t="inlineStr">
        <is>
          <t>SENIOR PLC</t>
        </is>
      </c>
      <c r="C145" s="17" t="n">
        <v>2</v>
      </c>
      <c r="D145" s="17" t="inlineStr">
        <is>
          <t>FY2024</t>
        </is>
      </c>
      <c r="E145" s="18" t="n">
        <v>960000000</v>
      </c>
      <c r="F145" s="18" t="n">
        <v>62000000</v>
      </c>
      <c r="G145" s="18" t="n">
        <v>62000000</v>
      </c>
      <c r="H145" s="19">
        <f>IF(OR(E145="",F145=""),"",F145/E145)</f>
        <v/>
      </c>
      <c r="I145" s="19">
        <f>IF(OR(E145="",G145=""),"",G145/E145)</f>
        <v/>
      </c>
      <c r="J145" s="19">
        <f>IF(OR(H145="",I145=""),"",H145+I145)</f>
        <v/>
      </c>
      <c r="K145" s="20" t="inlineStr">
        <is>
          <t>Volkswagen, BMW</t>
        </is>
      </c>
      <c r="L145" s="20" t="inlineStr">
        <is>
          <t>Flexible fluid conveyance, heat exchanger tubes, automotive fluid systems</t>
        </is>
      </c>
      <c r="M145" s="17" t="inlineStr">
        <is>
          <t>FY2024</t>
        </is>
      </c>
      <c r="N145" s="20" t="inlineStr">
        <is>
          <t>Senior plc 2024 Annual Report (GBP ~£756M)</t>
        </is>
      </c>
    </row>
    <row r="146">
      <c r="A146" s="9" t="n">
        <v>690569751</v>
      </c>
      <c r="B146" s="10" t="inlineStr">
        <is>
          <t>T RAD CO LTD</t>
        </is>
      </c>
      <c r="C146" s="11" t="n">
        <v>2</v>
      </c>
      <c r="D146" s="11" t="inlineStr">
        <is>
          <t>FY Mar2025</t>
        </is>
      </c>
      <c r="E146" s="12" t="n">
        <v>940000000</v>
      </c>
      <c r="F146" s="12" t="n">
        <v>42000000</v>
      </c>
      <c r="G146" s="12" t="n">
        <v>55000000</v>
      </c>
      <c r="H146" s="13">
        <f>IF(OR(E146="",F146=""),"",F146/E146)</f>
        <v/>
      </c>
      <c r="I146" s="13">
        <f>IF(OR(E146="",G146=""),"",G146/E146)</f>
        <v/>
      </c>
      <c r="J146" s="13">
        <f>IF(OR(H146="",I146=""),"",H146+I146)</f>
        <v/>
      </c>
      <c r="K146" s="14" t="inlineStr">
        <is>
          <t>Toyota, Honda, General Motors</t>
        </is>
      </c>
      <c r="L146" s="14" t="inlineStr">
        <is>
          <t>Radiators, oil coolers, heat exchangers, EV thermal management modules</t>
        </is>
      </c>
      <c r="M146" s="11" t="inlineStr">
        <is>
          <t>FY Mar2025</t>
        </is>
      </c>
      <c r="N146" s="14" t="inlineStr">
        <is>
          <t>T.RAD FY2024 Annual Report (JPY ~140B)</t>
        </is>
      </c>
    </row>
    <row r="147">
      <c r="A147" s="15" t="n">
        <v>300243545</v>
      </c>
      <c r="B147" s="16" t="inlineStr">
        <is>
          <t>POLYTEC HOLDINGS AG</t>
        </is>
      </c>
      <c r="C147" s="17" t="n">
        <v>2</v>
      </c>
      <c r="D147" s="17" t="inlineStr">
        <is>
          <t>FY2024</t>
        </is>
      </c>
      <c r="E147" s="18" t="n">
        <v>930000000</v>
      </c>
      <c r="F147" s="18" t="n">
        <v>45000000</v>
      </c>
      <c r="G147" s="18" t="n">
        <v>48000000</v>
      </c>
      <c r="H147" s="19">
        <f>IF(OR(E147="",F147=""),"",F147/E147)</f>
        <v/>
      </c>
      <c r="I147" s="19">
        <f>IF(OR(E147="",G147=""),"",G147/E147)</f>
        <v/>
      </c>
      <c r="J147" s="19">
        <f>IF(OR(H147="",I147=""),"",H147+I147)</f>
        <v/>
      </c>
      <c r="K147" s="20" t="inlineStr">
        <is>
          <t>BMW, Volkswagen, Mercedes, Stellantis</t>
        </is>
      </c>
      <c r="L147" s="20" t="inlineStr">
        <is>
          <t>Thermoplastic exterior parts, door panels, wheel arch liners, engine covers</t>
        </is>
      </c>
      <c r="M147" s="17" t="inlineStr">
        <is>
          <t>FY2024</t>
        </is>
      </c>
      <c r="N147" s="20" t="inlineStr">
        <is>
          <t>Polytec 2024 Annual Report (EUR ~€860M)</t>
        </is>
      </c>
    </row>
    <row r="148">
      <c r="A148" s="9" t="n">
        <v>353944689</v>
      </c>
      <c r="B148" s="10" t="inlineStr">
        <is>
          <t>TRELLEBORG AB</t>
        </is>
      </c>
      <c r="C148" s="11" t="n">
        <v>2</v>
      </c>
      <c r="D148" s="11" t="inlineStr">
        <is>
          <t>Q4 2025</t>
        </is>
      </c>
      <c r="E148" s="12" t="n">
        <v>891299700</v>
      </c>
      <c r="F148" s="12" t="n">
        <v>162944050</v>
      </c>
      <c r="G148" s="12" t="n">
        <v>148691764</v>
      </c>
      <c r="H148" s="13">
        <f>IF(OR(E148="",F148=""),"",F148/E148)</f>
        <v/>
      </c>
      <c r="I148" s="13">
        <f>IF(OR(E148="",G148=""),"",G148/E148)</f>
        <v/>
      </c>
      <c r="J148" s="13">
        <f>IF(OR(H148="",I148=""),"",H148+I148)</f>
        <v/>
      </c>
      <c r="K148" s="14" t="inlineStr">
        <is>
          <t>Stellantis, Volvo, Volkswagen</t>
        </is>
      </c>
      <c r="L148" s="14" t="inlineStr">
        <is>
          <t>Sealing systems, anti-vibration products, engineered coated fabrics</t>
        </is>
      </c>
      <c r="M148" s="11" t="inlineStr">
        <is>
          <t>Q4 2025</t>
        </is>
      </c>
      <c r="N148" s="14" t="inlineStr">
        <is>
          <t>Yahoo Finance (TREL-B.ST)</t>
        </is>
      </c>
    </row>
    <row r="149">
      <c r="A149" s="15" t="n">
        <v>690809090</v>
      </c>
      <c r="B149" s="16" t="inlineStr">
        <is>
          <t>F-TECH INC</t>
        </is>
      </c>
      <c r="C149" s="17" t="n">
        <v>2</v>
      </c>
      <c r="D149" s="17" t="inlineStr">
        <is>
          <t>FY Mar2025</t>
        </is>
      </c>
      <c r="E149" s="18" t="n">
        <v>890000000</v>
      </c>
      <c r="F149" s="18" t="n">
        <v>42000000</v>
      </c>
      <c r="G149" s="18" t="n">
        <v>38000000</v>
      </c>
      <c r="H149" s="19">
        <f>IF(OR(E149="",F149=""),"",F149/E149)</f>
        <v/>
      </c>
      <c r="I149" s="19">
        <f>IF(OR(E149="",G149=""),"",G149/E149)</f>
        <v/>
      </c>
      <c r="J149" s="19">
        <f>IF(OR(H149="",I149=""),"",H149+I149)</f>
        <v/>
      </c>
      <c r="K149" s="20" t="inlineStr">
        <is>
          <t>Honda, Nissan, General Motors</t>
        </is>
      </c>
      <c r="L149" s="20" t="inlineStr">
        <is>
          <t>Pedal assemblies, structural frames, suspension components</t>
        </is>
      </c>
      <c r="M149" s="17" t="inlineStr">
        <is>
          <t>FY Mar2025</t>
        </is>
      </c>
      <c r="N149" s="20" t="inlineStr">
        <is>
          <t>F-Tech FY2024 Annual Report (JPY ~133B)</t>
        </is>
      </c>
    </row>
    <row r="150">
      <c r="A150" s="9" t="n">
        <v>150146855</v>
      </c>
      <c r="B150" s="10" t="inlineStr">
        <is>
          <t>COMMERCIAL VEHICLE GROUP INC</t>
        </is>
      </c>
      <c r="C150" s="11" t="n">
        <v>2</v>
      </c>
      <c r="D150" s="11" t="inlineStr">
        <is>
          <t>FY2024</t>
        </is>
      </c>
      <c r="E150" s="12" t="n">
        <v>887000000</v>
      </c>
      <c r="F150" s="12" t="n">
        <v>72000000</v>
      </c>
      <c r="G150" s="12" t="n">
        <v>8000000</v>
      </c>
      <c r="H150" s="13">
        <f>IF(OR(E150="",F150=""),"",F150/E150)</f>
        <v/>
      </c>
      <c r="I150" s="13">
        <f>IF(OR(E150="",G150=""),"",G150/E150)</f>
        <v/>
      </c>
      <c r="J150" s="13">
        <f>IF(OR(H150="",I150=""),"",H150+I150)</f>
        <v/>
      </c>
      <c r="K150" s="14" t="inlineStr">
        <is>
          <t>Volvo, Daimler Trucks, Peterbilt</t>
        </is>
      </c>
      <c r="L150" s="14" t="inlineStr">
        <is>
          <t>Seats, cab-related products, wiper systems, trim for trucks/buses</t>
        </is>
      </c>
      <c r="M150" s="11" t="inlineStr">
        <is>
          <t>FY2024</t>
        </is>
      </c>
      <c r="N150" s="14" t="inlineStr">
        <is>
          <t>Commercial Vehicle Group 2024 10-K</t>
        </is>
      </c>
    </row>
    <row r="151">
      <c r="A151" s="15" t="n">
        <v>690552633</v>
      </c>
      <c r="B151" s="16" t="inlineStr">
        <is>
          <t>MITSUBISHI STEEL MFG CO LTD</t>
        </is>
      </c>
      <c r="C151" s="17" t="n">
        <v>2</v>
      </c>
      <c r="D151" s="17" t="inlineStr">
        <is>
          <t>FY Mar2025</t>
        </is>
      </c>
      <c r="E151" s="18" t="n">
        <v>870000000</v>
      </c>
      <c r="F151" s="18" t="n">
        <v>38000000</v>
      </c>
      <c r="G151" s="18" t="n">
        <v>42000000</v>
      </c>
      <c r="H151" s="19">
        <f>IF(OR(E151="",F151=""),"",F151/E151)</f>
        <v/>
      </c>
      <c r="I151" s="19">
        <f>IF(OR(E151="",G151=""),"",G151/E151)</f>
        <v/>
      </c>
      <c r="J151" s="19">
        <f>IF(OR(H151="",I151=""),"",H151+I151)</f>
        <v/>
      </c>
      <c r="K151" s="20" t="inlineStr">
        <is>
          <t>Ford, Stellantis, Volkswagen, BMW, General Motors</t>
        </is>
      </c>
      <c r="L151" s="20" t="inlineStr">
        <is>
          <t>Suspension springs, stabilizer bars, high-strength springs</t>
        </is>
      </c>
      <c r="M151" s="17" t="inlineStr">
        <is>
          <t>FY Mar2025</t>
        </is>
      </c>
      <c r="N151" s="20" t="inlineStr">
        <is>
          <t>Mitsubishi Steel FY2024 Annual Report (JPY ~130B)</t>
        </is>
      </c>
    </row>
    <row r="152">
      <c r="A152" s="9" t="n">
        <v>690579495</v>
      </c>
      <c r="B152" s="10" t="inlineStr">
        <is>
          <t>BANDO CHEMICAL INDUSTRIES LTD</t>
        </is>
      </c>
      <c r="C152" s="11" t="n">
        <v>2</v>
      </c>
      <c r="D152" s="11" t="inlineStr">
        <is>
          <t>FY Mar2025</t>
        </is>
      </c>
      <c r="E152" s="12" t="n">
        <v>870000000</v>
      </c>
      <c r="F152" s="12" t="n">
        <v>48000000</v>
      </c>
      <c r="G152" s="12" t="n">
        <v>55000000</v>
      </c>
      <c r="H152" s="13">
        <f>IF(OR(E152="",F152=""),"",F152/E152)</f>
        <v/>
      </c>
      <c r="I152" s="13">
        <f>IF(OR(E152="",G152=""),"",G152/E152)</f>
        <v/>
      </c>
      <c r="J152" s="13">
        <f>IF(OR(H152="",I152=""),"",H152+I152)</f>
        <v/>
      </c>
      <c r="K152" s="14" t="inlineStr">
        <is>
          <t>General Motors</t>
        </is>
      </c>
      <c r="L152" s="14" t="inlineStr">
        <is>
          <t>Drive belts, timing belts, ribbed belts</t>
        </is>
      </c>
      <c r="M152" s="11" t="inlineStr">
        <is>
          <t>FY Mar2025</t>
        </is>
      </c>
      <c r="N152" s="14" t="inlineStr">
        <is>
          <t>Bando Chemical FY2024 Annual Report (JPY ~130B)</t>
        </is>
      </c>
    </row>
    <row r="153">
      <c r="A153" s="15" t="n">
        <v>687751727</v>
      </c>
      <c r="B153" s="16" t="inlineStr">
        <is>
          <t>SL CORP</t>
        </is>
      </c>
      <c r="C153" s="17" t="n">
        <v>2</v>
      </c>
      <c r="D153" s="17" t="inlineStr">
        <is>
          <t>Q3 2025</t>
        </is>
      </c>
      <c r="E153" s="18" t="n">
        <v>863403352</v>
      </c>
      <c r="F153" s="18" t="n">
        <v>24119215</v>
      </c>
      <c r="G153" s="18" t="n">
        <v>45266228</v>
      </c>
      <c r="H153" s="19">
        <f>IF(OR(E153="",F153=""),"",F153/E153)</f>
        <v/>
      </c>
      <c r="I153" s="19">
        <f>IF(OR(E153="",G153=""),"",G153/E153)</f>
        <v/>
      </c>
      <c r="J153" s="19">
        <f>IF(OR(H153="",I153=""),"",H153+I153)</f>
        <v/>
      </c>
      <c r="K153" s="20" t="inlineStr">
        <is>
          <t>Hyundai, General Motors, Kia</t>
        </is>
      </c>
      <c r="L153" s="20" t="inlineStr">
        <is>
          <t>Interior lighting modules, ambient lighting, exterior lamps</t>
        </is>
      </c>
      <c r="M153" s="17" t="inlineStr">
        <is>
          <t>Q3 2025</t>
        </is>
      </c>
      <c r="N153" s="20" t="inlineStr">
        <is>
          <t>Yahoo Finance (005850.KS)</t>
        </is>
      </c>
    </row>
    <row r="154">
      <c r="A154" s="9" t="n">
        <v>690577879</v>
      </c>
      <c r="B154" s="10" t="inlineStr">
        <is>
          <t>NICHIAS CORP</t>
        </is>
      </c>
      <c r="C154" s="11" t="n">
        <v>2</v>
      </c>
      <c r="D154" s="11" t="inlineStr">
        <is>
          <t>FY Mar2025</t>
        </is>
      </c>
      <c r="E154" s="12" t="n">
        <v>840000000</v>
      </c>
      <c r="F154" s="12" t="n">
        <v>45000000</v>
      </c>
      <c r="G154" s="12" t="n">
        <v>62000000</v>
      </c>
      <c r="H154" s="13">
        <f>IF(OR(E154="",F154=""),"",F154/E154)</f>
        <v/>
      </c>
      <c r="I154" s="13">
        <f>IF(OR(E154="",G154=""),"",G154/E154)</f>
        <v/>
      </c>
      <c r="J154" s="13">
        <f>IF(OR(H154="",I154=""),"",H154+I154)</f>
        <v/>
      </c>
      <c r="K154" s="14" t="inlineStr">
        <is>
          <t>Toyota, Honda, Nissan</t>
        </is>
      </c>
      <c r="L154" s="14" t="inlineStr">
        <is>
          <t>Gaskets, sealing sheets, thermal insulation for engines</t>
        </is>
      </c>
      <c r="M154" s="11" t="inlineStr">
        <is>
          <t>FY Mar2025</t>
        </is>
      </c>
      <c r="N154" s="14" t="inlineStr">
        <is>
          <t>Nichias FY2024 Annual Report (JPY ~125B)</t>
        </is>
      </c>
    </row>
    <row r="155">
      <c r="A155" s="15" t="n">
        <v>517808812</v>
      </c>
      <c r="B155" s="16" t="inlineStr">
        <is>
          <t>HEXAGON COMPOSITES ASA</t>
        </is>
      </c>
      <c r="C155" s="17" t="n">
        <v>2</v>
      </c>
      <c r="D155" s="17" t="inlineStr">
        <is>
          <t>Q4 2025</t>
        </is>
      </c>
      <c r="E155" s="18" t="n">
        <v>828779000</v>
      </c>
      <c r="F155" s="18" t="n"/>
      <c r="G155" s="18" t="n">
        <v>47610000</v>
      </c>
      <c r="H155" s="19">
        <f>IF(OR(E155="",F155=""),"",F155/E155)</f>
        <v/>
      </c>
      <c r="I155" s="19">
        <f>IF(OR(E155="",G155=""),"",G155/E155)</f>
        <v/>
      </c>
      <c r="J155" s="19">
        <f>IF(OR(H155="",I155=""),"",H155+I155)</f>
        <v/>
      </c>
      <c r="K155" s="20" t="inlineStr">
        <is>
          <t>Toyota</t>
        </is>
      </c>
      <c r="L155" s="20" t="inlineStr">
        <is>
          <t>Composite cylinders for CNG/hydrogen vehicles</t>
        </is>
      </c>
      <c r="M155" s="17" t="inlineStr">
        <is>
          <t>Q4 2025</t>
        </is>
      </c>
      <c r="N155" s="20" t="inlineStr">
        <is>
          <t>Yahoo Finance (HEX.OL)</t>
        </is>
      </c>
    </row>
    <row r="156">
      <c r="A156" s="9" t="n">
        <v>690559943</v>
      </c>
      <c r="B156" s="10" t="inlineStr">
        <is>
          <t>TAIHO KOGYO CO LTD</t>
        </is>
      </c>
      <c r="C156" s="11" t="n">
        <v>2</v>
      </c>
      <c r="D156" s="11" t="inlineStr">
        <is>
          <t>FY Mar2025</t>
        </is>
      </c>
      <c r="E156" s="12" t="n">
        <v>810000000</v>
      </c>
      <c r="F156" s="12" t="n">
        <v>40000000</v>
      </c>
      <c r="G156" s="12" t="n">
        <v>62000000</v>
      </c>
      <c r="H156" s="13">
        <f>IF(OR(E156="",F156=""),"",F156/E156)</f>
        <v/>
      </c>
      <c r="I156" s="13">
        <f>IF(OR(E156="",G156=""),"",G156/E156)</f>
        <v/>
      </c>
      <c r="J156" s="13">
        <f>IF(OR(H156="",I156=""),"",H156+I156)</f>
        <v/>
      </c>
      <c r="K156" s="14" t="inlineStr">
        <is>
          <t>Toyota, Honda, Nissan, Mitsubishi, General Motors</t>
        </is>
      </c>
      <c r="L156" s="14" t="inlineStr">
        <is>
          <t>Engine bearings, sliding bearings, plain bearings</t>
        </is>
      </c>
      <c r="M156" s="11" t="inlineStr">
        <is>
          <t>FY Mar2025</t>
        </is>
      </c>
      <c r="N156" s="14" t="inlineStr">
        <is>
          <t>Taiho Kogyo FY2024 Annual Report (JPY ~121B)</t>
        </is>
      </c>
    </row>
    <row r="157">
      <c r="A157" s="15" t="n">
        <v>606280873</v>
      </c>
      <c r="B157" s="16" t="inlineStr">
        <is>
          <t>STONERIDGE INC</t>
        </is>
      </c>
      <c r="C157" s="17" t="n">
        <v>2</v>
      </c>
      <c r="D157" s="17" t="inlineStr">
        <is>
          <t>FY2024</t>
        </is>
      </c>
      <c r="E157" s="18" t="n">
        <v>791800000</v>
      </c>
      <c r="F157" s="18" t="n">
        <v>95600000</v>
      </c>
      <c r="G157" s="18" t="n">
        <v>-32400000</v>
      </c>
      <c r="H157" s="19">
        <f>IF(OR(E157="",F157=""),"",F157/E157)</f>
        <v/>
      </c>
      <c r="I157" s="19">
        <f>IF(OR(E157="",G157=""),"",G157/E157)</f>
        <v/>
      </c>
      <c r="J157" s="19">
        <f>IF(OR(H157="",I157=""),"",H157+I157)</f>
        <v/>
      </c>
      <c r="K157" s="20" t="inlineStr">
        <is>
          <t>Ford, General Motors, Stellantis, Toyota</t>
        </is>
      </c>
      <c r="L157" s="20" t="inlineStr">
        <is>
          <t>Smart mirrors (MirrorEye), tachograph systems, control units</t>
        </is>
      </c>
      <c r="M157" s="17" t="inlineStr">
        <is>
          <t>FY2024</t>
        </is>
      </c>
      <c r="N157" s="20" t="inlineStr">
        <is>
          <t>Stoneridge 2024 10-K</t>
        </is>
      </c>
    </row>
    <row r="158">
      <c r="A158" s="9" t="n">
        <v>689285091</v>
      </c>
      <c r="B158" s="10" t="inlineStr">
        <is>
          <t>SUNGWOO HITECH CO LTD</t>
        </is>
      </c>
      <c r="C158" s="11" t="n">
        <v>2</v>
      </c>
      <c r="D158" s="11" t="inlineStr">
        <is>
          <t>Q3 2025</t>
        </is>
      </c>
      <c r="E158" s="12" t="n">
        <v>785520133</v>
      </c>
      <c r="F158" s="12" t="n">
        <v>22520245</v>
      </c>
      <c r="G158" s="12" t="n">
        <v>42014396</v>
      </c>
      <c r="H158" s="13">
        <f>IF(OR(E158="",F158=""),"",F158/E158)</f>
        <v/>
      </c>
      <c r="I158" s="13">
        <f>IF(OR(E158="",G158=""),"",G158/E158)</f>
        <v/>
      </c>
      <c r="J158" s="13">
        <f>IF(OR(H158="",I158=""),"",H158+I158)</f>
        <v/>
      </c>
      <c r="K158" s="14" t="inlineStr">
        <is>
          <t>Kia, Hyundai, Volkswagen, General Motors</t>
        </is>
      </c>
      <c r="L158" s="14" t="inlineStr">
        <is>
          <t>Hot-stamped metal stampings, door rings, B-pillars, floor panels</t>
        </is>
      </c>
      <c r="M158" s="11" t="inlineStr">
        <is>
          <t>Q3 2025</t>
        </is>
      </c>
      <c r="N158" s="14" t="inlineStr">
        <is>
          <t>Yahoo Finance (015750.KS)</t>
        </is>
      </c>
    </row>
    <row r="159">
      <c r="A159" s="15" t="n">
        <v>690559257</v>
      </c>
      <c r="B159" s="16" t="inlineStr">
        <is>
          <t>DAIDO METAL CO LTD</t>
        </is>
      </c>
      <c r="C159" s="17" t="n">
        <v>2</v>
      </c>
      <c r="D159" s="17" t="inlineStr">
        <is>
          <t>FY Mar2025</t>
        </is>
      </c>
      <c r="E159" s="18" t="n">
        <v>780000000</v>
      </c>
      <c r="F159" s="18" t="n">
        <v>38000000</v>
      </c>
      <c r="G159" s="18" t="n">
        <v>45000000</v>
      </c>
      <c r="H159" s="19">
        <f>IF(OR(E159="",F159=""),"",F159/E159)</f>
        <v/>
      </c>
      <c r="I159" s="19">
        <f>IF(OR(E159="",G159=""),"",G159/E159)</f>
        <v/>
      </c>
      <c r="J159" s="19">
        <f>IF(OR(H159="",I159=""),"",H159+I159)</f>
        <v/>
      </c>
      <c r="K159" s="20" t="inlineStr">
        <is>
          <t>Ford, General Motors, Toyota, Honda, Nissan</t>
        </is>
      </c>
      <c r="L159" s="20" t="inlineStr">
        <is>
          <t>Engine plain bearings, thrust washers, large-engine bearings</t>
        </is>
      </c>
      <c r="M159" s="17" t="inlineStr">
        <is>
          <t>FY Mar2025</t>
        </is>
      </c>
      <c r="N159" s="20" t="inlineStr">
        <is>
          <t>Daido Metal FY2024 Annual Report (JPY ~116B)</t>
        </is>
      </c>
    </row>
    <row r="160">
      <c r="A160" s="9" t="n">
        <v>690656772</v>
      </c>
      <c r="B160" s="10" t="inlineStr">
        <is>
          <t>PIOLAX INC</t>
        </is>
      </c>
      <c r="C160" s="11" t="n">
        <v>2</v>
      </c>
      <c r="D160" s="11" t="inlineStr">
        <is>
          <t>FY Mar2025</t>
        </is>
      </c>
      <c r="E160" s="12" t="n">
        <v>780000000</v>
      </c>
      <c r="F160" s="12" t="n">
        <v>40000000</v>
      </c>
      <c r="G160" s="12" t="n">
        <v>52000000</v>
      </c>
      <c r="H160" s="13">
        <f>IF(OR(E160="",F160=""),"",F160/E160)</f>
        <v/>
      </c>
      <c r="I160" s="13">
        <f>IF(OR(E160="",G160=""),"",G160/E160)</f>
        <v/>
      </c>
      <c r="J160" s="13">
        <f>IF(OR(H160="",I160=""),"",H160+I160)</f>
        <v/>
      </c>
      <c r="K160" s="14" t="inlineStr">
        <is>
          <t>Honda, Nissan, Subaru, Mazda, Mitsubishi, Suzuki</t>
        </is>
      </c>
      <c r="L160" s="14" t="inlineStr">
        <is>
          <t>Plastic clips, retainers, springs, interior parts</t>
        </is>
      </c>
      <c r="M160" s="11" t="inlineStr">
        <is>
          <t>FY Mar2025</t>
        </is>
      </c>
      <c r="N160" s="14" t="inlineStr">
        <is>
          <t>Piolax FY2024 Annual Report (JPY ~116B)</t>
        </is>
      </c>
    </row>
    <row r="161">
      <c r="A161" s="15" t="n">
        <v>690539184</v>
      </c>
      <c r="B161" s="16" t="inlineStr">
        <is>
          <t>HOSIDEN CORPORATION</t>
        </is>
      </c>
      <c r="C161" s="17" t="n">
        <v>2</v>
      </c>
      <c r="D161" s="17" t="inlineStr">
        <is>
          <t>FY Mar2025</t>
        </is>
      </c>
      <c r="E161" s="18" t="n">
        <v>780000000</v>
      </c>
      <c r="F161" s="18" t="n">
        <v>42000000</v>
      </c>
      <c r="G161" s="18" t="n">
        <v>28000000</v>
      </c>
      <c r="H161" s="19">
        <f>IF(OR(E161="",F161=""),"",F161/E161)</f>
        <v/>
      </c>
      <c r="I161" s="19">
        <f>IF(OR(E161="",G161=""),"",G161/E161)</f>
        <v/>
      </c>
      <c r="J161" s="19">
        <f>IF(OR(H161="",I161=""),"",H161+I161)</f>
        <v/>
      </c>
      <c r="K161" s="20" t="inlineStr">
        <is>
          <t>Toyota, Honda, Nissan</t>
        </is>
      </c>
      <c r="L161" s="20" t="inlineStr">
        <is>
          <t>Automotive connectors, touch sensors, EV charging connectors</t>
        </is>
      </c>
      <c r="M161" s="17" t="inlineStr">
        <is>
          <t>FY Mar2025</t>
        </is>
      </c>
      <c r="N161" s="20" t="inlineStr">
        <is>
          <t>Hosiden FY2024 Annual Report (JPY ~116B)</t>
        </is>
      </c>
    </row>
    <row r="162">
      <c r="A162" s="9" t="n">
        <v>690578760</v>
      </c>
      <c r="B162" s="10" t="inlineStr">
        <is>
          <t>NISHIKAWA RUBBER CO LTD</t>
        </is>
      </c>
      <c r="C162" s="11" t="n">
        <v>2</v>
      </c>
      <c r="D162" s="11" t="inlineStr">
        <is>
          <t>FY Mar2025</t>
        </is>
      </c>
      <c r="E162" s="12" t="n">
        <v>730000000</v>
      </c>
      <c r="F162" s="12" t="n">
        <v>36000000</v>
      </c>
      <c r="G162" s="12" t="n">
        <v>38000000</v>
      </c>
      <c r="H162" s="13">
        <f>IF(OR(E162="",F162=""),"",F162/E162)</f>
        <v/>
      </c>
      <c r="I162" s="13">
        <f>IF(OR(E162="",G162=""),"",G162/E162)</f>
        <v/>
      </c>
      <c r="J162" s="13">
        <f>IF(OR(H162="",I162=""),"",H162+I162)</f>
        <v/>
      </c>
      <c r="K162" s="14" t="inlineStr">
        <is>
          <t>Toyota, Honda, Nissan, Mazda</t>
        </is>
      </c>
      <c r="L162" s="14" t="inlineStr">
        <is>
          <t>Weather strips, door seals, trunk seals</t>
        </is>
      </c>
      <c r="M162" s="11" t="inlineStr">
        <is>
          <t>FY Mar2025</t>
        </is>
      </c>
      <c r="N162" s="14" t="inlineStr">
        <is>
          <t>Nishikawa Rubber FY2024 Annual Report (JPY ~109B)</t>
        </is>
      </c>
    </row>
    <row r="163">
      <c r="A163" s="15" t="n">
        <v>218145332</v>
      </c>
      <c r="B163" s="16" t="inlineStr">
        <is>
          <t>BODYCOTE PLC</t>
        </is>
      </c>
      <c r="C163" s="17" t="n">
        <v>2</v>
      </c>
      <c r="D163" s="17" t="inlineStr">
        <is>
          <t>FY2024</t>
        </is>
      </c>
      <c r="E163" s="18" t="n">
        <v>715000000</v>
      </c>
      <c r="F163" s="18" t="n">
        <v>85000000</v>
      </c>
      <c r="G163" s="18" t="n">
        <v>108000000</v>
      </c>
      <c r="H163" s="19">
        <f>IF(OR(E163="",F163=""),"",F163/E163)</f>
        <v/>
      </c>
      <c r="I163" s="19">
        <f>IF(OR(E163="",G163=""),"",G163/E163)</f>
        <v/>
      </c>
      <c r="J163" s="19">
        <f>IF(OR(H163="",I163=""),"",H163+I163)</f>
        <v/>
      </c>
      <c r="K163" s="20" t="inlineStr">
        <is>
          <t>BMW, Volkswagen</t>
        </is>
      </c>
      <c r="L163" s="20" t="inlineStr">
        <is>
          <t>Heat treatment of powertrain gears, bearings, chassis parts</t>
        </is>
      </c>
      <c r="M163" s="17" t="inlineStr">
        <is>
          <t>FY2024</t>
        </is>
      </c>
      <c r="N163" s="20" t="inlineStr">
        <is>
          <t>Bodycote 2024 Annual Report (GBP ~£563M)</t>
        </is>
      </c>
    </row>
    <row r="164">
      <c r="A164" s="9" t="n">
        <v>175591072</v>
      </c>
      <c r="B164" s="10" t="inlineStr">
        <is>
          <t>TRIMAS CORP</t>
        </is>
      </c>
      <c r="C164" s="11" t="n">
        <v>2</v>
      </c>
      <c r="D164" s="11" t="inlineStr">
        <is>
          <t>Q3 2025</t>
        </is>
      </c>
      <c r="E164" s="12" t="n">
        <v>696960000</v>
      </c>
      <c r="F164" s="12" t="n">
        <v>115380000</v>
      </c>
      <c r="G164" s="12" t="n">
        <v>38570000</v>
      </c>
      <c r="H164" s="13">
        <f>IF(OR(E164="",F164=""),"",F164/E164)</f>
        <v/>
      </c>
      <c r="I164" s="13">
        <f>IF(OR(E164="",G164=""),"",G164/E164)</f>
        <v/>
      </c>
      <c r="J164" s="13">
        <f>IF(OR(H164="",I164=""),"",H164+I164)</f>
        <v/>
      </c>
      <c r="K164" s="14" t="inlineStr">
        <is>
          <t>General Motors, Ford, Stellantis</t>
        </is>
      </c>
      <c r="L164" s="14" t="inlineStr">
        <is>
          <t>Aerospace &amp; auto specialty products, steel parts</t>
        </is>
      </c>
      <c r="M164" s="11" t="inlineStr">
        <is>
          <t>Q3 2025</t>
        </is>
      </c>
      <c r="N164" s="14" t="inlineStr">
        <is>
          <t>SEC 10-Q</t>
        </is>
      </c>
    </row>
    <row r="165">
      <c r="A165" s="15" t="n">
        <v>687769307</v>
      </c>
      <c r="B165" s="16" t="inlineStr">
        <is>
          <t>DY CORPORATION</t>
        </is>
      </c>
      <c r="C165" s="17" t="n">
        <v>2</v>
      </c>
      <c r="D165" s="17" t="inlineStr">
        <is>
          <t>FY2024</t>
        </is>
      </c>
      <c r="E165" s="18" t="n">
        <v>694000000</v>
      </c>
      <c r="F165" s="18" t="n">
        <v>26000000</v>
      </c>
      <c r="G165" s="18" t="n">
        <v>23000000</v>
      </c>
      <c r="H165" s="19">
        <f>IF(OR(E165="",F165=""),"",F165/E165)</f>
        <v/>
      </c>
      <c r="I165" s="19">
        <f>IF(OR(E165="",G165=""),"",G165/E165)</f>
        <v/>
      </c>
      <c r="J165" s="19">
        <f>IF(OR(H165="",I165=""),"",H165+I165)</f>
        <v/>
      </c>
      <c r="K165" s="20" t="inlineStr">
        <is>
          <t>General Motors, Hyundai, Kia</t>
        </is>
      </c>
      <c r="L165" s="20" t="inlineStr">
        <is>
          <t>Wire harnesses, high-voltage harnesses, connectors</t>
        </is>
      </c>
      <c r="M165" s="17" t="inlineStr">
        <is>
          <t>FY2024</t>
        </is>
      </c>
      <c r="N165" s="20" t="inlineStr">
        <is>
          <t>DY Corp 2024 Annual Report (KRW ~951B)</t>
        </is>
      </c>
    </row>
    <row r="166">
      <c r="A166" s="9" t="n">
        <v>690691134</v>
      </c>
      <c r="B166" s="10" t="inlineStr">
        <is>
          <t>NISSHINBO HOLDINGS INC</t>
        </is>
      </c>
      <c r="C166" s="11" t="n">
        <v>2</v>
      </c>
      <c r="D166" s="11" t="inlineStr">
        <is>
          <t>Q2 2024</t>
        </is>
      </c>
      <c r="E166" s="12" t="n">
        <v>683886729</v>
      </c>
      <c r="F166" s="12" t="n"/>
      <c r="G166" s="12" t="n">
        <v>-8956345</v>
      </c>
      <c r="H166" s="13">
        <f>IF(OR(E166="",F166=""),"",F166/E166)</f>
        <v/>
      </c>
      <c r="I166" s="13">
        <f>IF(OR(E166="",G166=""),"",G166/E166)</f>
        <v/>
      </c>
      <c r="J166" s="13">
        <f>IF(OR(H166="",I166=""),"",H166+I166)</f>
        <v/>
      </c>
      <c r="K166" s="14" t="inlineStr">
        <is>
          <t>Ford, General Motors, Toyota, Volkswagen</t>
        </is>
      </c>
      <c r="L166" s="14" t="inlineStr">
        <is>
          <t>Brake pads, brake shoes, electronic circuits, NVH products</t>
        </is>
      </c>
      <c r="M166" s="11" t="inlineStr">
        <is>
          <t>Q2 2024</t>
        </is>
      </c>
      <c r="N166" s="14" t="inlineStr">
        <is>
          <t>Yahoo Finance (3105.T)</t>
        </is>
      </c>
    </row>
    <row r="167">
      <c r="A167" s="15" t="n">
        <v>690537287</v>
      </c>
      <c r="B167" s="16" t="inlineStr">
        <is>
          <t>MITSUBOSHI BELTING LTD</t>
        </is>
      </c>
      <c r="C167" s="17" t="n">
        <v>2</v>
      </c>
      <c r="D167" s="17" t="inlineStr">
        <is>
          <t>FY Mar2025</t>
        </is>
      </c>
      <c r="E167" s="18" t="n">
        <v>680000000</v>
      </c>
      <c r="F167" s="18" t="n">
        <v>35000000</v>
      </c>
      <c r="G167" s="18" t="n">
        <v>42000000</v>
      </c>
      <c r="H167" s="19">
        <f>IF(OR(E167="",F167=""),"",F167/E167)</f>
        <v/>
      </c>
      <c r="I167" s="19">
        <f>IF(OR(E167="",G167=""),"",G167/E167)</f>
        <v/>
      </c>
      <c r="J167" s="19">
        <f>IF(OR(H167="",I167=""),"",H167+I167)</f>
        <v/>
      </c>
      <c r="K167" s="20" t="inlineStr">
        <is>
          <t>Volkswagen, Stellantis, Toyota, Renault, Hyundai</t>
        </is>
      </c>
      <c r="L167" s="20" t="inlineStr">
        <is>
          <t>Timing belts, poly-V belts, flat belts</t>
        </is>
      </c>
      <c r="M167" s="17" t="inlineStr">
        <is>
          <t>FY Mar2025</t>
        </is>
      </c>
      <c r="N167" s="20" t="inlineStr">
        <is>
          <t>Mitsuboshi Belting FY2024 Annual Report (JPY ~101B)</t>
        </is>
      </c>
    </row>
    <row r="168">
      <c r="A168" s="9" t="n">
        <v>212398689</v>
      </c>
      <c r="B168" s="10" t="inlineStr">
        <is>
          <t>TT ELECTRONICS PLC</t>
        </is>
      </c>
      <c r="C168" s="11" t="n">
        <v>2</v>
      </c>
      <c r="D168" s="11" t="inlineStr">
        <is>
          <t>FY2024</t>
        </is>
      </c>
      <c r="E168" s="12" t="n">
        <v>640000000</v>
      </c>
      <c r="F168" s="12" t="n">
        <v>45000000</v>
      </c>
      <c r="G168" s="12" t="n">
        <v>38000000</v>
      </c>
      <c r="H168" s="13">
        <f>IF(OR(E168="",F168=""),"",F168/E168)</f>
        <v/>
      </c>
      <c r="I168" s="13">
        <f>IF(OR(E168="",G168=""),"",G168/E168)</f>
        <v/>
      </c>
      <c r="J168" s="13">
        <f>IF(OR(H168="",I168=""),"",H168+I168)</f>
        <v/>
      </c>
      <c r="K168" s="14" t="inlineStr">
        <is>
          <t>BMW, Mercedes</t>
        </is>
      </c>
      <c r="L168" s="14" t="inlineStr">
        <is>
          <t>Position sensors, power electronics, sensors for auto</t>
        </is>
      </c>
      <c r="M168" s="11" t="inlineStr">
        <is>
          <t>FY2024</t>
        </is>
      </c>
      <c r="N168" s="14" t="inlineStr">
        <is>
          <t>TT Electronics 2024 Annual Report (GBP ~£505M)</t>
        </is>
      </c>
    </row>
    <row r="169">
      <c r="A169" s="15" t="n">
        <v>690599097</v>
      </c>
      <c r="B169" s="16" t="inlineStr">
        <is>
          <t>THK CO LTD</t>
        </is>
      </c>
      <c r="C169" s="17" t="n">
        <v>2</v>
      </c>
      <c r="D169" s="17" t="inlineStr">
        <is>
          <t>Q2 2024</t>
        </is>
      </c>
      <c r="E169" s="18" t="n">
        <v>592885806</v>
      </c>
      <c r="F169" s="18" t="n">
        <v>99007292</v>
      </c>
      <c r="G169" s="18" t="n">
        <v>39144747</v>
      </c>
      <c r="H169" s="19">
        <f>IF(OR(E169="",F169=""),"",F169/E169)</f>
        <v/>
      </c>
      <c r="I169" s="19">
        <f>IF(OR(E169="",G169=""),"",G169/E169)</f>
        <v/>
      </c>
      <c r="J169" s="19">
        <f>IF(OR(H169="",I169=""),"",H169+I169)</f>
        <v/>
      </c>
      <c r="K169" s="20" t="inlineStr">
        <is>
          <t>Toyota, Honda, General Motors</t>
        </is>
      </c>
      <c r="L169" s="20" t="inlineStr">
        <is>
          <t>Linear motion guides, ball screws, automotive actuators</t>
        </is>
      </c>
      <c r="M169" s="17" t="inlineStr">
        <is>
          <t>Q2 2024</t>
        </is>
      </c>
      <c r="N169" s="20" t="inlineStr">
        <is>
          <t>Yahoo Finance (6481.T)</t>
        </is>
      </c>
    </row>
    <row r="170">
      <c r="A170" s="9" t="n">
        <v>656275658</v>
      </c>
      <c r="B170" s="10" t="inlineStr">
        <is>
          <t>DEPO AUTO PARTS IND CO LTD</t>
        </is>
      </c>
      <c r="C170" s="11" t="n">
        <v>2</v>
      </c>
      <c r="D170" s="11" t="inlineStr">
        <is>
          <t>FY2024</t>
        </is>
      </c>
      <c r="E170" s="12" t="n">
        <v>580000000</v>
      </c>
      <c r="F170" s="12" t="n">
        <v>35000000</v>
      </c>
      <c r="G170" s="12" t="n">
        <v>62000000</v>
      </c>
      <c r="H170" s="13">
        <f>IF(OR(E170="",F170=""),"",F170/E170)</f>
        <v/>
      </c>
      <c r="I170" s="13">
        <f>IF(OR(E170="",G170=""),"",G170/E170)</f>
        <v/>
      </c>
      <c r="J170" s="13">
        <f>IF(OR(H170="",I170=""),"",H170+I170)</f>
        <v/>
      </c>
      <c r="K170" s="14" t="inlineStr">
        <is>
          <t>Toyota, Honda, Nissan, Ford, General Motors, BMW</t>
        </is>
      </c>
      <c r="L170" s="14" t="inlineStr">
        <is>
          <t>Aftermarket headlamps, tail lamps, fog lamps</t>
        </is>
      </c>
      <c r="M170" s="11" t="inlineStr">
        <is>
          <t>FY2024</t>
        </is>
      </c>
      <c r="N170" s="14" t="inlineStr">
        <is>
          <t>Depo Auto Parts 2024 Annual Report (TWD estimate)</t>
        </is>
      </c>
    </row>
    <row r="171">
      <c r="A171" s="15" t="n">
        <v>690536404</v>
      </c>
      <c r="B171" s="16" t="inlineStr">
        <is>
          <t>PACIFIC INDUSTRIAL CO LTD</t>
        </is>
      </c>
      <c r="C171" s="17" t="n">
        <v>2</v>
      </c>
      <c r="D171" s="17" t="inlineStr">
        <is>
          <t>FY Mar2025</t>
        </is>
      </c>
      <c r="E171" s="18" t="n">
        <v>580000000</v>
      </c>
      <c r="F171" s="18" t="n">
        <v>28000000</v>
      </c>
      <c r="G171" s="18" t="n">
        <v>34000000</v>
      </c>
      <c r="H171" s="19">
        <f>IF(OR(E171="",F171=""),"",F171/E171)</f>
        <v/>
      </c>
      <c r="I171" s="19">
        <f>IF(OR(E171="",G171=""),"",G171/E171)</f>
        <v/>
      </c>
      <c r="J171" s="19">
        <f>IF(OR(H171="",I171=""),"",H171+I171)</f>
        <v/>
      </c>
      <c r="K171" s="20" t="inlineStr">
        <is>
          <t>General Motors, Toyota, Honda, Nissan, Ford</t>
        </is>
      </c>
      <c r="L171" s="20" t="inlineStr">
        <is>
          <t>Tire pressure valves, TPMS valve cores, plastic &amp; rubber parts</t>
        </is>
      </c>
      <c r="M171" s="17" t="inlineStr">
        <is>
          <t>FY Mar2025</t>
        </is>
      </c>
      <c r="N171" s="20" t="inlineStr">
        <is>
          <t>Pacific Industrial FY2024 Annual Report (JPY ~87B)</t>
        </is>
      </c>
    </row>
    <row r="172">
      <c r="A172" s="9" t="n">
        <v>717684106</v>
      </c>
      <c r="B172" s="10" t="inlineStr">
        <is>
          <t>DIAMOND ELECTRIC HOLDINGS CO LTD</t>
        </is>
      </c>
      <c r="C172" s="11" t="n">
        <v>2</v>
      </c>
      <c r="D172" s="11" t="inlineStr">
        <is>
          <t>FY Mar2025</t>
        </is>
      </c>
      <c r="E172" s="12" t="n">
        <v>570000000</v>
      </c>
      <c r="F172" s="12" t="n">
        <v>32000000</v>
      </c>
      <c r="G172" s="12" t="n">
        <v>38000000</v>
      </c>
      <c r="H172" s="13">
        <f>IF(OR(E172="",F172=""),"",F172/E172)</f>
        <v/>
      </c>
      <c r="I172" s="13">
        <f>IF(OR(E172="",G172=""),"",G172/E172)</f>
        <v/>
      </c>
      <c r="J172" s="13">
        <f>IF(OR(H172="",I172=""),"",H172+I172)</f>
        <v/>
      </c>
      <c r="K172" s="14" t="inlineStr">
        <is>
          <t>Ford, Subaru, General Motors, Toyota, Honda</t>
        </is>
      </c>
      <c r="L172" s="14" t="inlineStr">
        <is>
          <t>Ignition coils, ignition modules, distributors</t>
        </is>
      </c>
      <c r="M172" s="11" t="inlineStr">
        <is>
          <t>FY Mar2025</t>
        </is>
      </c>
      <c r="N172" s="14" t="inlineStr">
        <is>
          <t>Diamond Electric FY2024 Annual Report (JPY ~85B)</t>
        </is>
      </c>
    </row>
    <row r="173">
      <c r="A173" s="15" t="n">
        <v>44477123</v>
      </c>
      <c r="B173" s="16" t="inlineStr">
        <is>
          <t>MOTORCAR PARTS OF AMERICA INC</t>
        </is>
      </c>
      <c r="C173" s="17" t="n">
        <v>2</v>
      </c>
      <c r="D173" s="17" t="inlineStr">
        <is>
          <t>Q3 2026</t>
        </is>
      </c>
      <c r="E173" s="18" t="n">
        <v>564249000</v>
      </c>
      <c r="F173" s="18" t="n"/>
      <c r="G173" s="18" t="n">
        <v>23645000</v>
      </c>
      <c r="H173" s="19">
        <f>IF(OR(E173="",F173=""),"",F173/E173)</f>
        <v/>
      </c>
      <c r="I173" s="19">
        <f>IF(OR(E173="",G173=""),"",G173/E173)</f>
        <v/>
      </c>
      <c r="J173" s="19">
        <f>IF(OR(H173="",I173=""),"",H173+I173)</f>
        <v/>
      </c>
      <c r="K173" s="20" t="inlineStr">
        <is>
          <t>General Motors, Ford, Toyota, Honda, Hyundai</t>
        </is>
      </c>
      <c r="L173" s="20" t="inlineStr">
        <is>
          <t>Remanufactured alternators, starters, wheel hubs, brake calipers</t>
        </is>
      </c>
      <c r="M173" s="17" t="inlineStr">
        <is>
          <t>Q3 2026</t>
        </is>
      </c>
      <c r="N173" s="20" t="inlineStr">
        <is>
          <t>SEC 10-Q</t>
        </is>
      </c>
    </row>
    <row r="174">
      <c r="A174" s="9" t="n">
        <v>6100630</v>
      </c>
      <c r="B174" s="10" t="inlineStr">
        <is>
          <t>MAYVILLE ENGINEERING CO INC</t>
        </is>
      </c>
      <c r="C174" s="11" t="n">
        <v>2</v>
      </c>
      <c r="D174" s="11" t="inlineStr">
        <is>
          <t>FY2024</t>
        </is>
      </c>
      <c r="E174" s="12" t="n">
        <v>560000000</v>
      </c>
      <c r="F174" s="12" t="n">
        <v>38000000</v>
      </c>
      <c r="G174" s="12" t="n">
        <v>35000000</v>
      </c>
      <c r="H174" s="13">
        <f>IF(OR(E174="",F174=""),"",F174/E174)</f>
        <v/>
      </c>
      <c r="I174" s="13">
        <f>IF(OR(E174="",G174=""),"",G174/E174)</f>
        <v/>
      </c>
      <c r="J174" s="13">
        <f>IF(OR(H174="",I174=""),"",H174+I174)</f>
        <v/>
      </c>
      <c r="K174" s="14" t="inlineStr">
        <is>
          <t>Volvo</t>
        </is>
      </c>
      <c r="L174" s="14" t="inlineStr">
        <is>
          <t>Fabricated structural components, cylinder heads, chassis parts</t>
        </is>
      </c>
      <c r="M174" s="11" t="inlineStr">
        <is>
          <t>FY2024</t>
        </is>
      </c>
      <c r="N174" s="14" t="inlineStr">
        <is>
          <t>Mayville Engineering 2024 10-K</t>
        </is>
      </c>
    </row>
    <row r="175">
      <c r="A175" s="15" t="n">
        <v>4312401</v>
      </c>
      <c r="B175" s="16" t="inlineStr">
        <is>
          <t>WORTHINGTON INDUSTRIES INC</t>
        </is>
      </c>
      <c r="C175" s="17" t="n">
        <v>2</v>
      </c>
      <c r="D175" s="17" t="inlineStr">
        <is>
          <t>Q2 2026</t>
        </is>
      </c>
      <c r="E175" s="18" t="n">
        <v>531354000</v>
      </c>
      <c r="F175" s="18" t="n">
        <v>133954000</v>
      </c>
      <c r="G175" s="18" t="n">
        <v>-1178000</v>
      </c>
      <c r="H175" s="19">
        <f>IF(OR(E175="",F175=""),"",F175/E175)</f>
        <v/>
      </c>
      <c r="I175" s="19">
        <f>IF(OR(E175="",G175=""),"",G175/E175)</f>
        <v/>
      </c>
      <c r="J175" s="19">
        <f>IF(OR(H175="",I175=""),"",H175+I175)</f>
        <v/>
      </c>
      <c r="K175" s="20" t="inlineStr">
        <is>
          <t>General Motors, Stellantis</t>
        </is>
      </c>
      <c r="L175" s="20" t="inlineStr">
        <is>
          <t>Pressurized steel cylinders, custom steel processing, auto stampings</t>
        </is>
      </c>
      <c r="M175" s="17" t="inlineStr">
        <is>
          <t>Q2 2026</t>
        </is>
      </c>
      <c r="N175" s="20" t="inlineStr">
        <is>
          <t>SEC 10-Q</t>
        </is>
      </c>
    </row>
    <row r="176">
      <c r="A176" s="9" t="n">
        <v>690691068</v>
      </c>
      <c r="B176" s="10" t="inlineStr">
        <is>
          <t>NICHIRIN CO LTD</t>
        </is>
      </c>
      <c r="C176" s="11" t="n">
        <v>2</v>
      </c>
      <c r="D176" s="11" t="inlineStr">
        <is>
          <t>FY Mar2025</t>
        </is>
      </c>
      <c r="E176" s="12" t="n">
        <v>490000000</v>
      </c>
      <c r="F176" s="12" t="n">
        <v>23000000</v>
      </c>
      <c r="G176" s="12" t="n">
        <v>28000000</v>
      </c>
      <c r="H176" s="13">
        <f>IF(OR(E176="",F176=""),"",F176/E176)</f>
        <v/>
      </c>
      <c r="I176" s="13">
        <f>IF(OR(E176="",G176=""),"",G176/E176)</f>
        <v/>
      </c>
      <c r="J176" s="13">
        <f>IF(OR(H176="",I176=""),"",H176+I176)</f>
        <v/>
      </c>
      <c r="K176" s="14" t="inlineStr">
        <is>
          <t>Honda, Toyota, Nissan</t>
        </is>
      </c>
      <c r="L176" s="14" t="inlineStr">
        <is>
          <t>Brake hoses, fuel hoses, HVAC hoses</t>
        </is>
      </c>
      <c r="M176" s="11" t="inlineStr">
        <is>
          <t>FY Mar2025</t>
        </is>
      </c>
      <c r="N176" s="14" t="inlineStr">
        <is>
          <t>Nichirin FY2024 Annual Report (JPY ~73B)</t>
        </is>
      </c>
    </row>
    <row r="177">
      <c r="A177" s="15" t="n">
        <v>690549225</v>
      </c>
      <c r="B177" s="16" t="inlineStr">
        <is>
          <t>YOKOWO CO LTD</t>
        </is>
      </c>
      <c r="C177" s="17" t="n">
        <v>2</v>
      </c>
      <c r="D177" s="17" t="inlineStr">
        <is>
          <t>FY Mar2025</t>
        </is>
      </c>
      <c r="E177" s="18" t="n">
        <v>470000000</v>
      </c>
      <c r="F177" s="18" t="n">
        <v>25000000</v>
      </c>
      <c r="G177" s="18" t="n">
        <v>32000000</v>
      </c>
      <c r="H177" s="19">
        <f>IF(OR(E177="",F177=""),"",F177/E177)</f>
        <v/>
      </c>
      <c r="I177" s="19">
        <f>IF(OR(E177="",G177=""),"",G177/E177)</f>
        <v/>
      </c>
      <c r="J177" s="19">
        <f>IF(OR(H177="",I177=""),"",H177+I177)</f>
        <v/>
      </c>
      <c r="K177" s="20" t="inlineStr">
        <is>
          <t>Toyota, Honda, Nissan, Mazda</t>
        </is>
      </c>
      <c r="L177" s="20" t="inlineStr">
        <is>
          <t>Spring contacts, antennas, automotive connectors</t>
        </is>
      </c>
      <c r="M177" s="17" t="inlineStr">
        <is>
          <t>FY Mar2025</t>
        </is>
      </c>
      <c r="N177" s="20" t="inlineStr">
        <is>
          <t>Yokowo FY2024 Annual Report (JPY ~70B)</t>
        </is>
      </c>
    </row>
    <row r="178">
      <c r="A178" s="9" t="n">
        <v>690536123</v>
      </c>
      <c r="B178" s="10" t="inlineStr">
        <is>
          <t>RYOBI LTD</t>
        </is>
      </c>
      <c r="C178" s="11" t="n">
        <v>2</v>
      </c>
      <c r="D178" s="11" t="inlineStr">
        <is>
          <t>Q2 2024</t>
        </is>
      </c>
      <c r="E178" s="12" t="n">
        <v>467657652</v>
      </c>
      <c r="F178" s="12" t="n"/>
      <c r="G178" s="12" t="n">
        <v>15521828</v>
      </c>
      <c r="H178" s="13">
        <f>IF(OR(E178="",F178=""),"",F178/E178)</f>
        <v/>
      </c>
      <c r="I178" s="13">
        <f>IF(OR(E178="",G178=""),"",G178/E178)</f>
        <v/>
      </c>
      <c r="J178" s="13">
        <f>IF(OR(H178="",I178=""),"",H178+I178)</f>
        <v/>
      </c>
      <c r="K178" s="14" t="inlineStr">
        <is>
          <t>Volkswagen, Toyota</t>
        </is>
      </c>
      <c r="L178" s="14" t="inlineStr">
        <is>
          <t>Aluminum die castings, transmission cases, engine brackets, structural parts</t>
        </is>
      </c>
      <c r="M178" s="11" t="inlineStr">
        <is>
          <t>Q2 2024</t>
        </is>
      </c>
      <c r="N178" s="14" t="inlineStr">
        <is>
          <t>Yahoo Finance (5851.T)</t>
        </is>
      </c>
    </row>
    <row r="179">
      <c r="A179" s="15" t="n">
        <v>117688620</v>
      </c>
      <c r="B179" s="16" t="inlineStr">
        <is>
          <t>HOLLEY INC</t>
        </is>
      </c>
      <c r="C179" s="17" t="n">
        <v>2</v>
      </c>
      <c r="D179" s="17" t="inlineStr">
        <is>
          <t>Q3 2025</t>
        </is>
      </c>
      <c r="E179" s="18" t="n">
        <v>462170000</v>
      </c>
      <c r="F179" s="18" t="n">
        <v>97675000</v>
      </c>
      <c r="G179" s="18" t="n">
        <v>43649000</v>
      </c>
      <c r="H179" s="19">
        <f>IF(OR(E179="",F179=""),"",F179/E179)</f>
        <v/>
      </c>
      <c r="I179" s="19">
        <f>IF(OR(E179="",G179=""),"",G179/E179)</f>
        <v/>
      </c>
      <c r="J179" s="19">
        <f>IF(OR(H179="",I179=""),"",H179+I179)</f>
        <v/>
      </c>
      <c r="K179" s="20" t="inlineStr">
        <is>
          <t>General Motors</t>
        </is>
      </c>
      <c r="L179" s="20" t="inlineStr">
        <is>
          <t>Performance carburetors, fuel injection systems, exhaust systems</t>
        </is>
      </c>
      <c r="M179" s="17" t="inlineStr">
        <is>
          <t>Q3 2025</t>
        </is>
      </c>
      <c r="N179" s="20" t="inlineStr">
        <is>
          <t>SEC 10-Q</t>
        </is>
      </c>
    </row>
    <row r="180">
      <c r="A180" s="9" t="n">
        <v>690555933</v>
      </c>
      <c r="B180" s="10" t="inlineStr">
        <is>
          <t>FOSTER ELECTRIC CO LTD</t>
        </is>
      </c>
      <c r="C180" s="11" t="n">
        <v>2</v>
      </c>
      <c r="D180" s="11" t="inlineStr">
        <is>
          <t>FY Mar2025</t>
        </is>
      </c>
      <c r="E180" s="12" t="n">
        <v>460000000</v>
      </c>
      <c r="F180" s="12" t="n">
        <v>24000000</v>
      </c>
      <c r="G180" s="12" t="n">
        <v>18000000</v>
      </c>
      <c r="H180" s="13">
        <f>IF(OR(E180="",F180=""),"",F180/E180)</f>
        <v/>
      </c>
      <c r="I180" s="13">
        <f>IF(OR(E180="",G180=""),"",G180/E180)</f>
        <v/>
      </c>
      <c r="J180" s="13">
        <f>IF(OR(H180="",I180=""),"",H180+I180)</f>
        <v/>
      </c>
      <c r="K180" s="14" t="inlineStr">
        <is>
          <t>Toyota, Honda, Nissan, Suzuki, Mazda, Subaru, General Motors</t>
        </is>
      </c>
      <c r="L180" s="14" t="inlineStr">
        <is>
          <t>Speakers, microphones, actuators for automotive</t>
        </is>
      </c>
      <c r="M180" s="11" t="inlineStr">
        <is>
          <t>FY Mar2025</t>
        </is>
      </c>
      <c r="N180" s="14" t="inlineStr">
        <is>
          <t>Foster Electric FY2024 Annual Report (JPY ~69B)</t>
        </is>
      </c>
    </row>
    <row r="181">
      <c r="A181" s="15" t="n">
        <v>315342345</v>
      </c>
      <c r="B181" s="16" t="inlineStr">
        <is>
          <t>ELRINGKLINGER AG</t>
        </is>
      </c>
      <c r="C181" s="17" t="n">
        <v>2</v>
      </c>
      <c r="D181" s="17" t="inlineStr">
        <is>
          <t>Q3 2025</t>
        </is>
      </c>
      <c r="E181" s="18" t="n">
        <v>453268748</v>
      </c>
      <c r="F181" s="18" t="n">
        <v>78034380</v>
      </c>
      <c r="G181" s="18" t="n">
        <v>5150716</v>
      </c>
      <c r="H181" s="19">
        <f>IF(OR(E181="",F181=""),"",F181/E181)</f>
        <v/>
      </c>
      <c r="I181" s="19">
        <f>IF(OR(E181="",G181=""),"",G181/E181)</f>
        <v/>
      </c>
      <c r="J181" s="19">
        <f>IF(OR(H181="",I181=""),"",H181+I181)</f>
        <v/>
      </c>
      <c r="K181" s="20" t="inlineStr">
        <is>
          <t>Volkswagen, Mercedes, BMW, Tesla</t>
        </is>
      </c>
      <c r="L181" s="20" t="inlineStr">
        <is>
          <t>Cylinder head gaskets, special gaskets, shielding, EV battery cell frames</t>
        </is>
      </c>
      <c r="M181" s="17" t="inlineStr">
        <is>
          <t>Q3 2025</t>
        </is>
      </c>
      <c r="N181" s="20" t="inlineStr">
        <is>
          <t>Yahoo Finance (ZIL2.DE)</t>
        </is>
      </c>
    </row>
    <row r="182">
      <c r="A182" s="9" t="n">
        <v>44694040</v>
      </c>
      <c r="B182" s="10" t="inlineStr">
        <is>
          <t>VOXX INTERNATIONAL CORP</t>
        </is>
      </c>
      <c r="C182" s="11" t="n">
        <v>2</v>
      </c>
      <c r="D182" s="11" t="inlineStr">
        <is>
          <t>FY Feb2025</t>
        </is>
      </c>
      <c r="E182" s="12" t="n">
        <v>410000000</v>
      </c>
      <c r="F182" s="12" t="n">
        <v>78000000</v>
      </c>
      <c r="G182" s="12" t="n">
        <v>-24000000</v>
      </c>
      <c r="H182" s="13">
        <f>IF(OR(E182="",F182=""),"",F182/E182)</f>
        <v/>
      </c>
      <c r="I182" s="13">
        <f>IF(OR(E182="",G182=""),"",G182/E182)</f>
        <v/>
      </c>
      <c r="J182" s="13">
        <f>IF(OR(H182="",I182=""),"",H182+I182)</f>
        <v/>
      </c>
      <c r="K182" s="14" t="inlineStr">
        <is>
          <t>Stellantis, Ford, General Motors, Nissan, Subaru</t>
        </is>
      </c>
      <c r="L182" s="14" t="inlineStr">
        <is>
          <t>Remote start systems, vehicle security, OEM electronics</t>
        </is>
      </c>
      <c r="M182" s="11" t="inlineStr">
        <is>
          <t>FY Feb2025</t>
        </is>
      </c>
      <c r="N182" s="14" t="inlineStr">
        <is>
          <t>VOXX International FY2025 10-K</t>
        </is>
      </c>
    </row>
    <row r="183">
      <c r="A183" s="15" t="n">
        <v>5068515</v>
      </c>
      <c r="B183" s="16" t="inlineStr">
        <is>
          <t>CTS CORP</t>
        </is>
      </c>
      <c r="C183" s="17" t="n">
        <v>2</v>
      </c>
      <c r="D183" s="17" t="inlineStr">
        <is>
          <t>Q3 2025</t>
        </is>
      </c>
      <c r="E183" s="18" t="n">
        <v>388296000</v>
      </c>
      <c r="F183" s="18" t="n">
        <v>66100000</v>
      </c>
      <c r="G183" s="18" t="n">
        <v>53176000</v>
      </c>
      <c r="H183" s="19">
        <f>IF(OR(E183="",F183=""),"",F183/E183)</f>
        <v/>
      </c>
      <c r="I183" s="19">
        <f>IF(OR(E183="",G183=""),"",G183/E183)</f>
        <v/>
      </c>
      <c r="J183" s="19">
        <f>IF(OR(H183="",I183=""),"",H183+I183)</f>
        <v/>
      </c>
      <c r="K183" s="20" t="inlineStr">
        <is>
          <t>General Motors, Ford, Toyota, Honda</t>
        </is>
      </c>
      <c r="L183" s="20" t="inlineStr">
        <is>
          <t>Pedal sensors, transmission sensors, actuators, temperature sensors</t>
        </is>
      </c>
      <c r="M183" s="17" t="inlineStr">
        <is>
          <t>Q3 2025</t>
        </is>
      </c>
      <c r="N183" s="20" t="inlineStr">
        <is>
          <t>SEC 10-Q</t>
        </is>
      </c>
    </row>
    <row r="184">
      <c r="A184" s="9" t="n">
        <v>690644729</v>
      </c>
      <c r="B184" s="10" t="inlineStr">
        <is>
          <t>DAIDO CORP</t>
        </is>
      </c>
      <c r="C184" s="11" t="n">
        <v>2</v>
      </c>
      <c r="D184" s="11" t="inlineStr">
        <is>
          <t>FY Mar2025</t>
        </is>
      </c>
      <c r="E184" s="12" t="n">
        <v>360000000</v>
      </c>
      <c r="F184" s="12" t="n">
        <v>18000000</v>
      </c>
      <c r="G184" s="12" t="n">
        <v>15000000</v>
      </c>
      <c r="H184" s="13">
        <f>IF(OR(E184="",F184=""),"",F184/E184)</f>
        <v/>
      </c>
      <c r="I184" s="13">
        <f>IF(OR(E184="",G184=""),"",G184/E184)</f>
        <v/>
      </c>
      <c r="J184" s="13">
        <f>IF(OR(H184="",I184=""),"",H184+I184)</f>
        <v/>
      </c>
      <c r="K184" s="14" t="inlineStr">
        <is>
          <t>Toyota, Honda, Volkswagen, Nissan, General Motors</t>
        </is>
      </c>
      <c r="L184" s="14" t="inlineStr">
        <is>
          <t>Steel wire rope, suspension wires, window regulator cables</t>
        </is>
      </c>
      <c r="M184" s="11" t="inlineStr">
        <is>
          <t>FY Mar2025</t>
        </is>
      </c>
      <c r="N184" s="14" t="inlineStr">
        <is>
          <t>Daido Corp FY2024 Annual Report (JPY ~54B)</t>
        </is>
      </c>
    </row>
    <row r="185">
      <c r="A185" s="15" t="n">
        <v>690673546</v>
      </c>
      <c r="B185" s="16" t="inlineStr">
        <is>
          <t>NIPPON SEIKI CO LTD</t>
        </is>
      </c>
      <c r="C185" s="17" t="n">
        <v>2</v>
      </c>
      <c r="D185" s="17" t="inlineStr">
        <is>
          <t>Q2 2024</t>
        </is>
      </c>
      <c r="E185" s="18" t="n">
        <v>352395563</v>
      </c>
      <c r="F185" s="18" t="n"/>
      <c r="G185" s="18" t="n">
        <v>145617277</v>
      </c>
      <c r="H185" s="19">
        <f>IF(OR(E185="",F185=""),"",F185/E185)</f>
        <v/>
      </c>
      <c r="I185" s="19">
        <f>IF(OR(E185="",G185=""),"",G185/E185)</f>
        <v/>
      </c>
      <c r="J185" s="19">
        <f>IF(OR(H185="",I185=""),"",H185+I185)</f>
        <v/>
      </c>
      <c r="K185" s="20" t="inlineStr">
        <is>
          <t>General Motors, Honda, Nissan, Mazda, Subaru, BMW</t>
        </is>
      </c>
      <c r="L185" s="20" t="inlineStr">
        <is>
          <t>Digital instrument clusters, head-up displays, meters, gauges</t>
        </is>
      </c>
      <c r="M185" s="17" t="inlineStr">
        <is>
          <t>Q2 2024</t>
        </is>
      </c>
      <c r="N185" s="20" t="inlineStr">
        <is>
          <t>Yahoo Finance (6920.T)</t>
        </is>
      </c>
    </row>
    <row r="186">
      <c r="A186" s="9" t="n">
        <v>690595079</v>
      </c>
      <c r="B186" s="10" t="inlineStr">
        <is>
          <t>HARADA INDUSTRY CO LTD</t>
        </is>
      </c>
      <c r="C186" s="11" t="n">
        <v>2</v>
      </c>
      <c r="D186" s="11" t="inlineStr">
        <is>
          <t>FY Mar2025</t>
        </is>
      </c>
      <c r="E186" s="12" t="n">
        <v>350000000</v>
      </c>
      <c r="F186" s="12" t="n">
        <v>18000000</v>
      </c>
      <c r="G186" s="12" t="n">
        <v>12000000</v>
      </c>
      <c r="H186" s="13">
        <f>IF(OR(E186="",F186=""),"",F186/E186)</f>
        <v/>
      </c>
      <c r="I186" s="13">
        <f>IF(OR(E186="",G186=""),"",G186/E186)</f>
        <v/>
      </c>
      <c r="J186" s="13">
        <f>IF(OR(H186="",I186=""),"",H186+I186)</f>
        <v/>
      </c>
      <c r="K186" s="14" t="inlineStr">
        <is>
          <t>Toyota, Nissan, General Motors, Ford, Honda</t>
        </is>
      </c>
      <c r="L186" s="14" t="inlineStr">
        <is>
          <t>Roof-mount antennas, shark-fin antennas, window antennas</t>
        </is>
      </c>
      <c r="M186" s="11" t="inlineStr">
        <is>
          <t>FY Mar2025</t>
        </is>
      </c>
      <c r="N186" s="14" t="inlineStr">
        <is>
          <t>Harada Industry FY2024 Annual Report (JPY ~52B)</t>
        </is>
      </c>
    </row>
    <row r="187">
      <c r="A187" s="15" t="n">
        <v>690677380</v>
      </c>
      <c r="B187" s="16" t="inlineStr">
        <is>
          <t>SANKO GOSEI LTD</t>
        </is>
      </c>
      <c r="C187" s="17" t="n">
        <v>2</v>
      </c>
      <c r="D187" s="17" t="inlineStr">
        <is>
          <t>FY Mar2025</t>
        </is>
      </c>
      <c r="E187" s="18" t="n">
        <v>350000000</v>
      </c>
      <c r="F187" s="18" t="n">
        <v>18000000</v>
      </c>
      <c r="G187" s="18" t="n">
        <v>12000000</v>
      </c>
      <c r="H187" s="19">
        <f>IF(OR(E187="",F187=""),"",F187/E187)</f>
        <v/>
      </c>
      <c r="I187" s="19">
        <f>IF(OR(E187="",G187=""),"",G187/E187)</f>
        <v/>
      </c>
      <c r="J187" s="19">
        <f>IF(OR(H187="",I187=""),"",H187+I187)</f>
        <v/>
      </c>
      <c r="K187" s="20" t="inlineStr">
        <is>
          <t>Toyota, Honda</t>
        </is>
      </c>
      <c r="L187" s="20" t="inlineStr">
        <is>
          <t>Interior plastic components, bumpers, door trims</t>
        </is>
      </c>
      <c r="M187" s="17" t="inlineStr">
        <is>
          <t>FY Mar2025</t>
        </is>
      </c>
      <c r="N187" s="20" t="inlineStr">
        <is>
          <t>Sanko Gosei FY2024 Annual Report (JPY ~52B)</t>
        </is>
      </c>
    </row>
    <row r="188">
      <c r="A188" s="9" t="n">
        <v>815557373</v>
      </c>
      <c r="B188" s="10" t="inlineStr">
        <is>
          <t>XIN POINT HOLDINGS LTD</t>
        </is>
      </c>
      <c r="C188" s="11" t="n">
        <v>2</v>
      </c>
      <c r="D188" s="11" t="inlineStr">
        <is>
          <t>FY2024</t>
        </is>
      </c>
      <c r="E188" s="12" t="n">
        <v>340000000</v>
      </c>
      <c r="F188" s="12" t="n">
        <v>18000000</v>
      </c>
      <c r="G188" s="12" t="n">
        <v>32000000</v>
      </c>
      <c r="H188" s="13">
        <f>IF(OR(E188="",F188=""),"",F188/E188)</f>
        <v/>
      </c>
      <c r="I188" s="13">
        <f>IF(OR(E188="",G188=""),"",G188/E188)</f>
        <v/>
      </c>
      <c r="J188" s="13">
        <f>IF(OR(H188="",I188=""),"",H188+I188)</f>
        <v/>
      </c>
      <c r="K188" s="14" t="inlineStr">
        <is>
          <t>General Motors, Mercedes, Volvo, BMW, Ford, Honda</t>
        </is>
      </c>
      <c r="L188" s="14" t="inlineStr">
        <is>
          <t>Metal trim pieces, side moldings, decorative trim</t>
        </is>
      </c>
      <c r="M188" s="11" t="inlineStr">
        <is>
          <t>FY2024</t>
        </is>
      </c>
      <c r="N188" s="14" t="inlineStr">
        <is>
          <t>Xin Point Holdings 2024 Annual Report</t>
        </is>
      </c>
    </row>
    <row r="189">
      <c r="A189" s="15" t="n">
        <v>965507312</v>
      </c>
      <c r="B189" s="16" t="inlineStr">
        <is>
          <t>CORE MOLDING TECHNOLOGIES INC</t>
        </is>
      </c>
      <c r="C189" s="17" t="n">
        <v>2</v>
      </c>
      <c r="D189" s="17" t="inlineStr">
        <is>
          <t>FY2024</t>
        </is>
      </c>
      <c r="E189" s="18" t="n">
        <v>338200000</v>
      </c>
      <c r="F189" s="18" t="n">
        <v>25100000</v>
      </c>
      <c r="G189" s="18" t="n">
        <v>28900000</v>
      </c>
      <c r="H189" s="19">
        <f>IF(OR(E189="",F189=""),"",F189/E189)</f>
        <v/>
      </c>
      <c r="I189" s="19">
        <f>IF(OR(E189="",G189=""),"",G189/E189)</f>
        <v/>
      </c>
      <c r="J189" s="19">
        <f>IF(OR(H189="",I189=""),"",H189+I189)</f>
        <v/>
      </c>
      <c r="K189" s="20" t="inlineStr">
        <is>
          <t>Volvo, Ford, BMW, General Motors</t>
        </is>
      </c>
      <c r="L189" s="20" t="inlineStr">
        <is>
          <t>Fiberglass composite hoods, fenders, roofs, cab panels</t>
        </is>
      </c>
      <c r="M189" s="17" t="inlineStr">
        <is>
          <t>FY2024</t>
        </is>
      </c>
      <c r="N189" s="20" t="inlineStr">
        <is>
          <t>Core Molding Technologies 2024 10-K</t>
        </is>
      </c>
    </row>
    <row r="190">
      <c r="A190" s="9" t="n">
        <v>400652919</v>
      </c>
      <c r="B190" s="10" t="inlineStr">
        <is>
          <t>STABILUS SA</t>
        </is>
      </c>
      <c r="C190" s="11" t="n">
        <v>2</v>
      </c>
      <c r="D190" s="11" t="inlineStr">
        <is>
          <t>Q4 2025</t>
        </is>
      </c>
      <c r="E190" s="12" t="n">
        <v>333684799</v>
      </c>
      <c r="F190" s="12" t="n">
        <v>56472204</v>
      </c>
      <c r="G190" s="12" t="n">
        <v>21469340</v>
      </c>
      <c r="H190" s="13">
        <f>IF(OR(E190="",F190=""),"",F190/E190)</f>
        <v/>
      </c>
      <c r="I190" s="13">
        <f>IF(OR(E190="",G190=""),"",G190/E190)</f>
        <v/>
      </c>
      <c r="J190" s="13">
        <f>IF(OR(H190="",I190=""),"",H190+I190)</f>
        <v/>
      </c>
      <c r="K190" s="14" t="inlineStr">
        <is>
          <t>Volkswagen, BMW, Ford, Tesla, General Motors</t>
        </is>
      </c>
      <c r="L190" s="14" t="inlineStr">
        <is>
          <t>Gas springs, power struts, liftgate actuators, trunk lifters</t>
        </is>
      </c>
      <c r="M190" s="11" t="inlineStr">
        <is>
          <t>Q4 2025</t>
        </is>
      </c>
      <c r="N190" s="14" t="inlineStr">
        <is>
          <t>Yahoo Finance (STM.DE)</t>
        </is>
      </c>
    </row>
    <row r="191">
      <c r="A191" s="15" t="n">
        <v>506707343</v>
      </c>
      <c r="B191" s="16" t="inlineStr">
        <is>
          <t>NORMA GROUP SE</t>
        </is>
      </c>
      <c r="C191" s="17" t="n">
        <v>2</v>
      </c>
      <c r="D191" s="17" t="inlineStr">
        <is>
          <t>Q2 2025</t>
        </is>
      </c>
      <c r="E191" s="18" t="n">
        <v>332813739</v>
      </c>
      <c r="F191" s="18" t="n"/>
      <c r="G191" s="18" t="n">
        <v>21871632</v>
      </c>
      <c r="H191" s="19">
        <f>IF(OR(E191="",F191=""),"",F191/E191)</f>
        <v/>
      </c>
      <c r="I191" s="19">
        <f>IF(OR(E191="",G191=""),"",G191/E191)</f>
        <v/>
      </c>
      <c r="J191" s="19">
        <f>IF(OR(H191="",I191=""),"",H191+I191)</f>
        <v/>
      </c>
      <c r="K191" s="20" t="inlineStr">
        <is>
          <t>N/A</t>
        </is>
      </c>
      <c r="L191" s="20" t="inlineStr">
        <is>
          <t>Clamps, connectors, hose couplings for fluid management</t>
        </is>
      </c>
      <c r="M191" s="17" t="inlineStr">
        <is>
          <t>Q2 2025</t>
        </is>
      </c>
      <c r="N191" s="20" t="inlineStr">
        <is>
          <t>Yahoo Finance (NOEJ.DE)</t>
        </is>
      </c>
    </row>
    <row r="192">
      <c r="A192" s="9" t="n">
        <v>690594270</v>
      </c>
      <c r="B192" s="10" t="inlineStr">
        <is>
          <t>GMB CORP</t>
        </is>
      </c>
      <c r="C192" s="11" t="n">
        <v>2</v>
      </c>
      <c r="D192" s="11" t="inlineStr">
        <is>
          <t>FY Mar2025</t>
        </is>
      </c>
      <c r="E192" s="12" t="n">
        <v>300000000</v>
      </c>
      <c r="F192" s="12" t="n">
        <v>14000000</v>
      </c>
      <c r="G192" s="12" t="n">
        <v>16000000</v>
      </c>
      <c r="H192" s="13">
        <f>IF(OR(E192="",F192=""),"",F192/E192)</f>
        <v/>
      </c>
      <c r="I192" s="13">
        <f>IF(OR(E192="",G192=""),"",G192/E192)</f>
        <v/>
      </c>
      <c r="J192" s="13">
        <f>IF(OR(H192="",I192=""),"",H192+I192)</f>
        <v/>
      </c>
      <c r="K192" s="14" t="inlineStr">
        <is>
          <t>Toyota, Mazda, Nissan, Subaru, Honda, Kia, Hyundai</t>
        </is>
      </c>
      <c r="L192" s="14" t="inlineStr">
        <is>
          <t>Universal joints, water pumps, tensioners</t>
        </is>
      </c>
      <c r="M192" s="11" t="inlineStr">
        <is>
          <t>FY Mar2025</t>
        </is>
      </c>
      <c r="N192" s="14" t="inlineStr">
        <is>
          <t>GMB Corp FY2024 Annual Report (JPY ~45B)</t>
        </is>
      </c>
    </row>
    <row r="193">
      <c r="A193" s="15" t="n">
        <v>690558051</v>
      </c>
      <c r="B193" s="16" t="inlineStr">
        <is>
          <t>SANDEN CORPORATION</t>
        </is>
      </c>
      <c r="C193" s="17" t="n">
        <v>2</v>
      </c>
      <c r="D193" s="17" t="inlineStr">
        <is>
          <t>Q2 2024</t>
        </is>
      </c>
      <c r="E193" s="18" t="n">
        <v>298695046</v>
      </c>
      <c r="F193" s="18" t="n"/>
      <c r="G193" s="18" t="n">
        <v>-10295729</v>
      </c>
      <c r="H193" s="19">
        <f>IF(OR(E193="",F193=""),"",F193/E193)</f>
        <v/>
      </c>
      <c r="I193" s="19">
        <f>IF(OR(E193="",G193=""),"",G193/E193)</f>
        <v/>
      </c>
      <c r="J193" s="19">
        <f>IF(OR(H193="",I193=""),"",H193+I193)</f>
        <v/>
      </c>
      <c r="K193" s="20" t="inlineStr">
        <is>
          <t>Toyota, Hyundai, Audi, BMW, Mercedes, Ford, General Motors</t>
        </is>
      </c>
      <c r="L193" s="20" t="inlineStr">
        <is>
          <t>Automotive HVAC compressors, EV heat pump modules</t>
        </is>
      </c>
      <c r="M193" s="17" t="inlineStr">
        <is>
          <t>Q2 2024</t>
        </is>
      </c>
      <c r="N193" s="20" t="inlineStr">
        <is>
          <t>Yahoo Finance (6444.T)</t>
        </is>
      </c>
    </row>
    <row r="194">
      <c r="A194" s="9" t="n">
        <v>687998617</v>
      </c>
      <c r="B194" s="10" t="inlineStr">
        <is>
          <t>HWASEUNG CORP CO LTD</t>
        </is>
      </c>
      <c r="C194" s="11" t="n">
        <v>2</v>
      </c>
      <c r="D194" s="11" t="inlineStr">
        <is>
          <t>Q3 2025</t>
        </is>
      </c>
      <c r="E194" s="12" t="n">
        <v>295298442</v>
      </c>
      <c r="F194" s="12" t="n">
        <v>17415508</v>
      </c>
      <c r="G194" s="12" t="n">
        <v>14570209</v>
      </c>
      <c r="H194" s="13">
        <f>IF(OR(E194="",F194=""),"",F194/E194)</f>
        <v/>
      </c>
      <c r="I194" s="13">
        <f>IF(OR(E194="",G194=""),"",G194/E194)</f>
        <v/>
      </c>
      <c r="J194" s="13">
        <f>IF(OR(H194="",I194=""),"",H194+I194)</f>
        <v/>
      </c>
      <c r="K194" s="14" t="inlineStr">
        <is>
          <t>Hyundai, Kia, General Motors, Ford, Stellantis, BMW</t>
        </is>
      </c>
      <c r="L194" s="14" t="inlineStr">
        <is>
          <t>Shift cable assemblies, transmission cables, HVAC cables</t>
        </is>
      </c>
      <c r="M194" s="11" t="inlineStr">
        <is>
          <t>Q3 2025</t>
        </is>
      </c>
      <c r="N194" s="14" t="inlineStr">
        <is>
          <t>Yahoo Finance (013520.KS)</t>
        </is>
      </c>
    </row>
    <row r="195">
      <c r="A195" s="15" t="n">
        <v>879168029</v>
      </c>
      <c r="B195" s="16" t="inlineStr">
        <is>
          <t>STRATTEC SECURITY CORPORATION</t>
        </is>
      </c>
      <c r="C195" s="17" t="n">
        <v>2</v>
      </c>
      <c r="D195" s="17" t="inlineStr">
        <is>
          <t>Q2 2026</t>
        </is>
      </c>
      <c r="E195" s="18" t="n">
        <v>268971000</v>
      </c>
      <c r="F195" s="18" t="n"/>
      <c r="G195" s="18" t="n">
        <v>7197000</v>
      </c>
      <c r="H195" s="19">
        <f>IF(OR(E195="",F195=""),"",F195/E195)</f>
        <v/>
      </c>
      <c r="I195" s="19">
        <f>IF(OR(E195="",G195=""),"",G195/E195)</f>
        <v/>
      </c>
      <c r="J195" s="19">
        <f>IF(OR(H195="",I195=""),"",H195+I195)</f>
        <v/>
      </c>
      <c r="K195" s="20" t="inlineStr">
        <is>
          <t>Stellantis, General Motors, Ford</t>
        </is>
      </c>
      <c r="L195" s="20" t="inlineStr">
        <is>
          <t>Locks, keys, vehicle access systems, door handles</t>
        </is>
      </c>
      <c r="M195" s="17" t="inlineStr">
        <is>
          <t>Q2 2026</t>
        </is>
      </c>
      <c r="N195" s="20" t="inlineStr">
        <is>
          <t>SEC 10-Q</t>
        </is>
      </c>
    </row>
    <row r="196">
      <c r="A196" s="9" t="n">
        <v>687819359</v>
      </c>
      <c r="B196" s="10" t="inlineStr">
        <is>
          <t>CTR CO LTD</t>
        </is>
      </c>
      <c r="C196" s="11" t="n">
        <v>2</v>
      </c>
      <c r="D196" s="11" t="inlineStr">
        <is>
          <t>Q3 2025</t>
        </is>
      </c>
      <c r="E196" s="12" t="n">
        <v>238641549</v>
      </c>
      <c r="F196" s="12" t="n">
        <v>90538954</v>
      </c>
      <c r="G196" s="12" t="n">
        <v>-4949334</v>
      </c>
      <c r="H196" s="13">
        <f>IF(OR(E196="",F196=""),"",F196/E196)</f>
        <v/>
      </c>
      <c r="I196" s="13">
        <f>IF(OR(E196="",G196=""),"",G196/E196)</f>
        <v/>
      </c>
      <c r="J196" s="13">
        <f>IF(OR(H196="",I196=""),"",H196+I196)</f>
        <v/>
      </c>
      <c r="K196" s="14" t="inlineStr">
        <is>
          <t>Hyundai, Kia, General Motors, Tesla, Ford</t>
        </is>
      </c>
      <c r="L196" s="14" t="inlineStr">
        <is>
          <t>Steering gear, rack &amp; pinion, EPS systems</t>
        </is>
      </c>
      <c r="M196" s="11" t="inlineStr">
        <is>
          <t>Q3 2025</t>
        </is>
      </c>
      <c r="N196" s="14" t="inlineStr">
        <is>
          <t>Yahoo Finance (036570.KS)</t>
        </is>
      </c>
    </row>
    <row r="197">
      <c r="A197" s="15" t="n">
        <v>695687668</v>
      </c>
      <c r="B197" s="16" t="inlineStr">
        <is>
          <t>ILJIN GLOBAL CO LTD</t>
        </is>
      </c>
      <c r="C197" s="17" t="n">
        <v>2</v>
      </c>
      <c r="D197" s="17" t="inlineStr">
        <is>
          <t>Q4 2025</t>
        </is>
      </c>
      <c r="E197" s="18" t="n">
        <v>229559745</v>
      </c>
      <c r="F197" s="18" t="n">
        <v>15774576</v>
      </c>
      <c r="G197" s="18" t="n">
        <v>5027207</v>
      </c>
      <c r="H197" s="19">
        <f>IF(OR(E197="",F197=""),"",F197/E197)</f>
        <v/>
      </c>
      <c r="I197" s="19">
        <f>IF(OR(E197="",G197=""),"",G197/E197)</f>
        <v/>
      </c>
      <c r="J197" s="19">
        <f>IF(OR(H197="",I197=""),"",H197+I197)</f>
        <v/>
      </c>
      <c r="K197" s="20" t="inlineStr">
        <is>
          <t>Hyundai, General Motors, Ford, Kia, Mercedes</t>
        </is>
      </c>
      <c r="L197" s="20" t="inlineStr">
        <is>
          <t>Wheel bearings, hub units, driveshafts</t>
        </is>
      </c>
      <c r="M197" s="17" t="inlineStr">
        <is>
          <t>Q4 2025</t>
        </is>
      </c>
      <c r="N197" s="20" t="inlineStr">
        <is>
          <t>Yahoo Finance (014830.KS)</t>
        </is>
      </c>
    </row>
    <row r="198">
      <c r="A198" s="9" t="n">
        <v>776631116</v>
      </c>
      <c r="B198" s="10" t="inlineStr">
        <is>
          <t>THULE GROUP AB</t>
        </is>
      </c>
      <c r="C198" s="11" t="n">
        <v>2</v>
      </c>
      <c r="D198" s="11" t="inlineStr">
        <is>
          <t>Q4 2025</t>
        </is>
      </c>
      <c r="E198" s="12" t="n">
        <v>195171235</v>
      </c>
      <c r="F198" s="12" t="n">
        <v>78919377</v>
      </c>
      <c r="G198" s="12" t="n">
        <v>8827909</v>
      </c>
      <c r="H198" s="13">
        <f>IF(OR(E198="",F198=""),"",F198/E198)</f>
        <v/>
      </c>
      <c r="I198" s="13">
        <f>IF(OR(E198="",G198=""),"",G198/E198)</f>
        <v/>
      </c>
      <c r="J198" s="13">
        <f>IF(OR(H198="",I198=""),"",H198+I198)</f>
        <v/>
      </c>
      <c r="K198" s="14" t="inlineStr">
        <is>
          <t>Volvo, Audi, BMW</t>
        </is>
      </c>
      <c r="L198" s="14" t="inlineStr">
        <is>
          <t>Roof racks, tow bars, bike carriers, cargo boxes</t>
        </is>
      </c>
      <c r="M198" s="11" t="inlineStr">
        <is>
          <t>Q4 2025</t>
        </is>
      </c>
      <c r="N198" s="14" t="inlineStr">
        <is>
          <t>Yahoo Finance (THULE.ST)</t>
        </is>
      </c>
    </row>
    <row r="199">
      <c r="A199" s="15" t="n">
        <v>690563036</v>
      </c>
      <c r="B199" s="16" t="inlineStr">
        <is>
          <t>UCHIYAMA MANUFACTURING CORP</t>
        </is>
      </c>
      <c r="C199" s="17" t="n">
        <v>2</v>
      </c>
      <c r="D199" s="17" t="inlineStr">
        <is>
          <t>FY Mar2025</t>
        </is>
      </c>
      <c r="E199" s="18" t="n">
        <v>190000000</v>
      </c>
      <c r="F199" s="18" t="n">
        <v>9000000</v>
      </c>
      <c r="G199" s="18" t="n">
        <v>10000000</v>
      </c>
      <c r="H199" s="19">
        <f>IF(OR(E199="",F199=""),"",F199/E199)</f>
        <v/>
      </c>
      <c r="I199" s="19">
        <f>IF(OR(E199="",G199=""),"",G199/E199)</f>
        <v/>
      </c>
      <c r="J199" s="19">
        <f>IF(OR(H199="",I199=""),"",H199+I199)</f>
        <v/>
      </c>
      <c r="K199" s="20" t="inlineStr">
        <is>
          <t>Toyota, Honda, Nissan, Mazda, Subaru, General Motors</t>
        </is>
      </c>
      <c r="L199" s="20" t="inlineStr">
        <is>
          <t>Oil seals, rubber gaskets, dust covers</t>
        </is>
      </c>
      <c r="M199" s="17" t="inlineStr">
        <is>
          <t>FY Mar2025</t>
        </is>
      </c>
      <c r="N199" s="20" t="inlineStr">
        <is>
          <t>Uchiyama Mfg FY2024 Annual Report</t>
        </is>
      </c>
    </row>
    <row r="200">
      <c r="A200" s="9" t="n">
        <v>691458483</v>
      </c>
      <c r="B200" s="10" t="inlineStr">
        <is>
          <t>MURO CORPORATION</t>
        </is>
      </c>
      <c r="C200" s="11" t="n">
        <v>2</v>
      </c>
      <c r="D200" s="11" t="inlineStr">
        <is>
          <t>FY Mar2025</t>
        </is>
      </c>
      <c r="E200" s="12" t="n">
        <v>180000000</v>
      </c>
      <c r="F200" s="12" t="n">
        <v>9000000</v>
      </c>
      <c r="G200" s="12" t="n">
        <v>8000000</v>
      </c>
      <c r="H200" s="13">
        <f>IF(OR(E200="",F200=""),"",F200/E200)</f>
        <v/>
      </c>
      <c r="I200" s="13">
        <f>IF(OR(E200="",G200=""),"",G200/E200)</f>
        <v/>
      </c>
      <c r="J200" s="13">
        <f>IF(OR(H200="",I200=""),"",H200+I200)</f>
        <v/>
      </c>
      <c r="K200" s="14" t="inlineStr">
        <is>
          <t>Toyota, Honda, Nissan, Mazda, Subaru</t>
        </is>
      </c>
      <c r="L200" s="14" t="inlineStr">
        <is>
          <t>Small metal parts, fasteners, brackets</t>
        </is>
      </c>
      <c r="M200" s="11" t="inlineStr">
        <is>
          <t>FY Mar2025</t>
        </is>
      </c>
      <c r="N200" s="14" t="inlineStr">
        <is>
          <t>Muro Corp FY2024 Annual Report (JPY ~27B)</t>
        </is>
      </c>
    </row>
    <row r="201">
      <c r="A201" s="15" t="n">
        <v>714213373</v>
      </c>
      <c r="B201" s="16" t="inlineStr">
        <is>
          <t>TSUBAKI NAKASHIMA CO LTD</t>
        </is>
      </c>
      <c r="C201" s="17" t="n">
        <v>2</v>
      </c>
      <c r="D201" s="17" t="inlineStr">
        <is>
          <t>Q2 2024</t>
        </is>
      </c>
      <c r="E201" s="18" t="n">
        <v>127298666</v>
      </c>
      <c r="F201" s="18" t="n">
        <v>12825006</v>
      </c>
      <c r="G201" s="18" t="n">
        <v>4149819</v>
      </c>
      <c r="H201" s="19">
        <f>IF(OR(E201="",F201=""),"",F201/E201)</f>
        <v/>
      </c>
      <c r="I201" s="19">
        <f>IF(OR(E201="",G201=""),"",G201/E201)</f>
        <v/>
      </c>
      <c r="J201" s="19">
        <f>IF(OR(H201="",I201=""),"",H201+I201)</f>
        <v/>
      </c>
      <c r="K201" s="20" t="inlineStr">
        <is>
          <t>Toyota, Volkswagen, Ford, Tesla, Honda</t>
        </is>
      </c>
      <c r="L201" s="20" t="inlineStr">
        <is>
          <t>Precision steel balls, ball studs, linear motion components</t>
        </is>
      </c>
      <c r="M201" s="17" t="inlineStr">
        <is>
          <t>Q2 2024</t>
        </is>
      </c>
      <c r="N201" s="20" t="inlineStr">
        <is>
          <t>Yahoo Finance (6464.T)</t>
        </is>
      </c>
    </row>
    <row r="202">
      <c r="A202" s="9" t="n">
        <v>690882766</v>
      </c>
      <c r="B202" s="10" t="inlineStr">
        <is>
          <t>PARKER CORP</t>
        </is>
      </c>
      <c r="C202" s="11" t="n">
        <v>2</v>
      </c>
      <c r="D202" s="11" t="inlineStr">
        <is>
          <t>FY2024</t>
        </is>
      </c>
      <c r="E202" s="12" t="n">
        <v>120000000</v>
      </c>
      <c r="F202" s="12" t="n">
        <v>8000000</v>
      </c>
      <c r="G202" s="12" t="n">
        <v>7000000</v>
      </c>
      <c r="H202" s="13">
        <f>IF(OR(E202="",F202=""),"",F202/E202)</f>
        <v/>
      </c>
      <c r="I202" s="13">
        <f>IF(OR(E202="",G202=""),"",G202/E202)</f>
        <v/>
      </c>
      <c r="J202" s="13">
        <f>IF(OR(H202="",I202=""),"",H202+I202)</f>
        <v/>
      </c>
      <c r="K202" s="14" t="inlineStr">
        <is>
          <t>General Motors, Ford, Stellantis</t>
        </is>
      </c>
      <c r="L202" s="14" t="inlineStr">
        <is>
          <t>Auto parts distribution and manufacturing</t>
        </is>
      </c>
      <c r="M202" s="11" t="inlineStr">
        <is>
          <t>FY2024</t>
        </is>
      </c>
      <c r="N202" s="14" t="inlineStr">
        <is>
          <t>Parker Corp FY2024 (small Japanese auto parts)</t>
        </is>
      </c>
    </row>
    <row r="203">
      <c r="A203" s="15" t="n">
        <v>689223774</v>
      </c>
      <c r="B203" s="16" t="inlineStr">
        <is>
          <t>WOORY INDUSTRIAL HOLDINGS CO LTD</t>
        </is>
      </c>
      <c r="C203" s="17" t="n">
        <v>2</v>
      </c>
      <c r="D203" s="17" t="inlineStr">
        <is>
          <t>Q3 2025</t>
        </is>
      </c>
      <c r="E203" s="18" t="n">
        <v>116012996</v>
      </c>
      <c r="F203" s="18" t="n">
        <v>4988210</v>
      </c>
      <c r="G203" s="18" t="n">
        <v>6765659</v>
      </c>
      <c r="H203" s="19">
        <f>IF(OR(E203="",F203=""),"",F203/E203)</f>
        <v/>
      </c>
      <c r="I203" s="19">
        <f>IF(OR(E203="",G203=""),"",G203/E203)</f>
        <v/>
      </c>
      <c r="J203" s="19">
        <f>IF(OR(H203="",I203=""),"",H203+I203)</f>
        <v/>
      </c>
      <c r="K203" s="20" t="inlineStr">
        <is>
          <t>Tesla, Kia, Hyundai</t>
        </is>
      </c>
      <c r="L203" s="20" t="inlineStr">
        <is>
          <t>EV battery cooling, HVAC systems, heat exchangers</t>
        </is>
      </c>
      <c r="M203" s="17" t="inlineStr">
        <is>
          <t>Q3 2025</t>
        </is>
      </c>
      <c r="N203" s="20" t="inlineStr">
        <is>
          <t>Yahoo Finance (072470.KS)</t>
        </is>
      </c>
    </row>
    <row r="204">
      <c r="A204" s="9" t="n">
        <v>201648052</v>
      </c>
      <c r="B204" s="10" t="inlineStr">
        <is>
          <t>EXCO TECHNOLOGIES LTD</t>
        </is>
      </c>
      <c r="C204" s="11" t="n">
        <v>2</v>
      </c>
      <c r="D204" s="11" t="inlineStr">
        <is>
          <t>Q4 2025</t>
        </is>
      </c>
      <c r="E204" s="12" t="n">
        <v>108933418</v>
      </c>
      <c r="F204" s="12" t="n">
        <v>10163923</v>
      </c>
      <c r="G204" s="12" t="n">
        <v>5885910</v>
      </c>
      <c r="H204" s="13">
        <f>IF(OR(E204="",F204=""),"",F204/E204)</f>
        <v/>
      </c>
      <c r="I204" s="13">
        <f>IF(OR(E204="",G204=""),"",G204/E204)</f>
        <v/>
      </c>
      <c r="J204" s="13">
        <f>IF(OR(H204="",I204=""),"",H204+I204)</f>
        <v/>
      </c>
      <c r="K204" s="14" t="inlineStr">
        <is>
          <t>Toyota, Honda, Nissan</t>
        </is>
      </c>
      <c r="L204" s="14" t="inlineStr">
        <is>
          <t>Extrusion tooling, die casting tooling, auto trim mouldings</t>
        </is>
      </c>
      <c r="M204" s="11" t="inlineStr">
        <is>
          <t>Q4 2025</t>
        </is>
      </c>
      <c r="N204" s="14" t="inlineStr">
        <is>
          <t>Yahoo Finance (XTC.TO)</t>
        </is>
      </c>
    </row>
    <row r="205">
      <c r="A205" s="15" t="n">
        <v>687782458</v>
      </c>
      <c r="B205" s="16" t="inlineStr">
        <is>
          <t>TAEYANG METAL INDUSTRIAL CO LTD</t>
        </is>
      </c>
      <c r="C205" s="17" t="n">
        <v>2</v>
      </c>
      <c r="D205" s="17" t="inlineStr">
        <is>
          <t>Q3 2025</t>
        </is>
      </c>
      <c r="E205" s="18" t="n">
        <v>101909101</v>
      </c>
      <c r="F205" s="18" t="n">
        <v>7602021</v>
      </c>
      <c r="G205" s="18" t="n">
        <v>1657880</v>
      </c>
      <c r="H205" s="19">
        <f>IF(OR(E205="",F205=""),"",F205/E205)</f>
        <v/>
      </c>
      <c r="I205" s="19">
        <f>IF(OR(E205="",G205=""),"",G205/E205)</f>
        <v/>
      </c>
      <c r="J205" s="19">
        <f>IF(OR(H205="",I205=""),"",H205+I205)</f>
        <v/>
      </c>
      <c r="K205" s="20" t="inlineStr">
        <is>
          <t>Hyundai, Kia, General Motors, Ford, Stellantis, Mazda</t>
        </is>
      </c>
      <c r="L205" s="20" t="inlineStr">
        <is>
          <t>Metal stampings, door hinges, hood hinges, structural parts</t>
        </is>
      </c>
      <c r="M205" s="17" t="inlineStr">
        <is>
          <t>Q3 2025</t>
        </is>
      </c>
      <c r="N205" s="20" t="inlineStr">
        <is>
          <t>Yahoo Finance (004100.KS)</t>
        </is>
      </c>
    </row>
    <row r="206">
      <c r="A206" s="9" t="n">
        <v>687802777</v>
      </c>
      <c r="B206" s="10" t="inlineStr">
        <is>
          <t>INFAC CORPORATION</t>
        </is>
      </c>
      <c r="C206" s="11" t="n">
        <v>2</v>
      </c>
      <c r="D206" s="11" t="inlineStr">
        <is>
          <t>Q3 2025</t>
        </is>
      </c>
      <c r="E206" s="12" t="n">
        <v>98471744</v>
      </c>
      <c r="F206" s="12" t="n">
        <v>5494941</v>
      </c>
      <c r="G206" s="12" t="n">
        <v>4266298</v>
      </c>
      <c r="H206" s="13">
        <f>IF(OR(E206="",F206=""),"",F206/E206)</f>
        <v/>
      </c>
      <c r="I206" s="13">
        <f>IF(OR(E206="",G206=""),"",G206/E206)</f>
        <v/>
      </c>
      <c r="J206" s="13">
        <f>IF(OR(H206="",I206=""),"",H206+I206)</f>
        <v/>
      </c>
      <c r="K206" s="14" t="inlineStr">
        <is>
          <t>Hyundai, Kia, General Motors, Mazda</t>
        </is>
      </c>
      <c r="L206" s="14" t="inlineStr">
        <is>
          <t>Metal stampings, door hinges, structural parts</t>
        </is>
      </c>
      <c r="M206" s="11" t="inlineStr">
        <is>
          <t>Q3 2025</t>
        </is>
      </c>
      <c r="N206" s="14" t="inlineStr">
        <is>
          <t>Yahoo Finance (023810.KS)</t>
        </is>
      </c>
    </row>
    <row r="207">
      <c r="A207" s="15" t="n">
        <v>247865264</v>
      </c>
      <c r="B207" s="16" t="inlineStr">
        <is>
          <t>AIRBOSS OF AMERICA CORP</t>
        </is>
      </c>
      <c r="C207" s="17" t="n">
        <v>2</v>
      </c>
      <c r="D207" s="17" t="inlineStr">
        <is>
          <t>Q3 2025</t>
        </is>
      </c>
      <c r="E207" s="18" t="n">
        <v>73160430</v>
      </c>
      <c r="F207" s="18" t="n">
        <v>9392395</v>
      </c>
      <c r="G207" s="18" t="n">
        <v>-182865</v>
      </c>
      <c r="H207" s="19">
        <f>IF(OR(E207="",F207=""),"",F207/E207)</f>
        <v/>
      </c>
      <c r="I207" s="19">
        <f>IF(OR(E207="",G207=""),"",G207/E207)</f>
        <v/>
      </c>
      <c r="J207" s="19">
        <f>IF(OR(H207="",I207=""),"",H207+I207)</f>
        <v/>
      </c>
      <c r="K207" s="20" t="inlineStr">
        <is>
          <t>General Motors, Ford, Stellantis, Honda</t>
        </is>
      </c>
      <c r="L207" s="20" t="inlineStr">
        <is>
          <t>Anti-vibration products, rubber NVH components, body mounts</t>
        </is>
      </c>
      <c r="M207" s="17" t="inlineStr">
        <is>
          <t>Q3 2025</t>
        </is>
      </c>
      <c r="N207" s="20" t="inlineStr">
        <is>
          <t>Yahoo Finance (BOS.TO)</t>
        </is>
      </c>
    </row>
    <row r="208">
      <c r="A208" s="9" t="n">
        <v>403394372</v>
      </c>
      <c r="B208" s="10" t="inlineStr">
        <is>
          <t>KENDRION NV</t>
        </is>
      </c>
      <c r="C208" s="11" t="n">
        <v>2</v>
      </c>
      <c r="D208" s="11" t="inlineStr">
        <is>
          <t>Q4 2025</t>
        </is>
      </c>
      <c r="E208" s="12" t="n">
        <v>70487103</v>
      </c>
      <c r="F208" s="12" t="n"/>
      <c r="G208" s="12" t="n">
        <v>5959885</v>
      </c>
      <c r="H208" s="13">
        <f>IF(OR(E208="",F208=""),"",F208/E208)</f>
        <v/>
      </c>
      <c r="I208" s="13">
        <f>IF(OR(E208="",G208=""),"",G208/E208)</f>
        <v/>
      </c>
      <c r="J208" s="13">
        <f>IF(OR(H208="",I208=""),"",H208+I208)</f>
        <v/>
      </c>
      <c r="K208" s="14" t="inlineStr">
        <is>
          <t>N/A</t>
        </is>
      </c>
      <c r="L208" s="14" t="inlineStr">
        <is>
          <t>Electromagnetic actuators, solenoids, electromagnetic clutches</t>
        </is>
      </c>
      <c r="M208" s="11" t="inlineStr">
        <is>
          <t>Q4 2025</t>
        </is>
      </c>
      <c r="N208" s="14" t="inlineStr">
        <is>
          <t>Yahoo Finance (KENDR.AS)</t>
        </is>
      </c>
    </row>
    <row r="209">
      <c r="A209" s="15" t="n">
        <v>252892955</v>
      </c>
      <c r="B209" s="16" t="inlineStr">
        <is>
          <t>WESTPORT FUEL SYSTEMS INC</t>
        </is>
      </c>
      <c r="C209" s="17" t="n">
        <v>2</v>
      </c>
      <c r="D209" s="17" t="inlineStr">
        <is>
          <t>Q3 2025</t>
        </is>
      </c>
      <c r="E209" s="18" t="n">
        <v>33414000</v>
      </c>
      <c r="F209" s="18" t="n"/>
      <c r="G209" s="18" t="n">
        <v>-25383000</v>
      </c>
      <c r="H209" s="19">
        <f>IF(OR(E209="",F209=""),"",F209/E209)</f>
        <v/>
      </c>
      <c r="I209" s="19">
        <f>IF(OR(E209="",G209=""),"",G209/E209)</f>
        <v/>
      </c>
      <c r="J209" s="19">
        <f>IF(OR(H209="",I209=""),"",H209+I209)</f>
        <v/>
      </c>
      <c r="K209" s="20" t="inlineStr">
        <is>
          <t>General Motors, Ford, Volkswagen, Honda, Hyundai</t>
        </is>
      </c>
      <c r="L209" s="20" t="inlineStr">
        <is>
          <t>CNG/LNG fuel systems, HPDI natural gas injectors, hydrogen fuel systems</t>
        </is>
      </c>
      <c r="M209" s="17" t="inlineStr">
        <is>
          <t>Q3 2025</t>
        </is>
      </c>
      <c r="N209" s="20" t="inlineStr">
        <is>
          <t>SEC 10-Q</t>
        </is>
      </c>
    </row>
    <row r="210">
      <c r="A210" s="9" t="n">
        <v>350685597</v>
      </c>
      <c r="B210" s="10" t="inlineStr">
        <is>
          <t>CTEK AB (PUBL)</t>
        </is>
      </c>
      <c r="C210" s="11" t="n">
        <v>2</v>
      </c>
      <c r="D210" s="11" t="inlineStr">
        <is>
          <t>Q4 2025</t>
        </is>
      </c>
      <c r="E210" s="12" t="n">
        <v>22217258</v>
      </c>
      <c r="F210" s="12" t="n"/>
      <c r="G210" s="12" t="n">
        <v>2616298</v>
      </c>
      <c r="H210" s="13">
        <f>IF(OR(E210="",F210=""),"",F210/E210)</f>
        <v/>
      </c>
      <c r="I210" s="13">
        <f>IF(OR(E210="",G210=""),"",G210/E210)</f>
        <v/>
      </c>
      <c r="J210" s="13">
        <f>IF(OR(H210="",I210=""),"",H210+I210)</f>
        <v/>
      </c>
      <c r="K210" s="14" t="inlineStr">
        <is>
          <t>BMW, Volkswagen</t>
        </is>
      </c>
      <c r="L210" s="14" t="inlineStr">
        <is>
          <t>Battery chargers, EV charging solutions</t>
        </is>
      </c>
      <c r="M210" s="11" t="inlineStr">
        <is>
          <t>Q4 2025</t>
        </is>
      </c>
      <c r="N210" s="14" t="inlineStr">
        <is>
          <t>Yahoo Finance (CTEK.ST)</t>
        </is>
      </c>
    </row>
    <row r="211">
      <c r="A211" s="15" t="n">
        <v>690773668</v>
      </c>
      <c r="B211" s="16" t="inlineStr">
        <is>
          <t>SANOH INDUSTRIAL CO LTD</t>
        </is>
      </c>
      <c r="C211" s="17" t="n">
        <v>2</v>
      </c>
      <c r="D211" s="17" t="inlineStr">
        <is>
          <t>Q3 2024</t>
        </is>
      </c>
      <c r="E211" s="18" t="n">
        <v>18826732</v>
      </c>
      <c r="F211" s="18" t="n"/>
      <c r="G211" s="18" t="n">
        <v>851172</v>
      </c>
      <c r="H211" s="19">
        <f>IF(OR(E211="",F211=""),"",F211/E211)</f>
        <v/>
      </c>
      <c r="I211" s="19">
        <f>IF(OR(E211="",G211=""),"",G211/E211)</f>
        <v/>
      </c>
      <c r="J211" s="19">
        <f>IF(OR(H211="",I211=""),"",H211+I211)</f>
        <v/>
      </c>
      <c r="K211" s="20" t="inlineStr">
        <is>
          <t>Toyota, Nissan, Honda, Mazda</t>
        </is>
      </c>
      <c r="L211" s="20" t="inlineStr">
        <is>
          <t>Steel tubes, fuel lines, brake lines, clutch pipes</t>
        </is>
      </c>
      <c r="M211" s="17" t="inlineStr">
        <is>
          <t>Q3 2024</t>
        </is>
      </c>
      <c r="N211" s="20" t="inlineStr">
        <is>
          <t>Yahoo Finance (7196.T)</t>
        </is>
      </c>
    </row>
    <row r="212">
      <c r="A212" s="9" t="n">
        <v>689283781</v>
      </c>
      <c r="B212" s="10" t="inlineStr">
        <is>
          <t>JINHAP CO LTD</t>
        </is>
      </c>
      <c r="C212" s="11" t="n">
        <v>2</v>
      </c>
      <c r="D212" s="11" t="inlineStr">
        <is>
          <t>Q3 2025</t>
        </is>
      </c>
      <c r="E212" s="12" t="n">
        <v>2747977</v>
      </c>
      <c r="F212" s="12" t="n">
        <v>398043</v>
      </c>
      <c r="G212" s="12" t="n">
        <v>-734191</v>
      </c>
      <c r="H212" s="13">
        <f>IF(OR(E212="",F212=""),"",F212/E212)</f>
        <v/>
      </c>
      <c r="I212" s="13">
        <f>IF(OR(E212="",G212=""),"",G212/E212)</f>
        <v/>
      </c>
      <c r="J212" s="13">
        <f>IF(OR(H212="",I212=""),"",H212+I212)</f>
        <v/>
      </c>
      <c r="K212" s="14" t="inlineStr">
        <is>
          <t>Hyundai, Kia</t>
        </is>
      </c>
      <c r="L212" s="14" t="inlineStr">
        <is>
          <t>Rubber/plastic auto parts, bushings, grommets</t>
        </is>
      </c>
      <c r="M212" s="11" t="inlineStr">
        <is>
          <t>Q3 2025</t>
        </is>
      </c>
      <c r="N212" s="14" t="inlineStr">
        <is>
          <t>Yahoo Finance (051980.KS)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</cols>
  <sheetData>
    <row r="1">
      <c r="A1" s="21" t="inlineStr">
        <is>
          <t>Tier 1 Supplier Summary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s="22" t="inlineStr">
        <is>
          <t>Companies included</t>
        </is>
      </c>
      <c r="B3" s="23" t="n">
        <v>66</v>
      </c>
    </row>
    <row r="4">
      <c r="A4" s="22" t="inlineStr">
        <is>
          <t>Companies with revenue data</t>
        </is>
      </c>
      <c r="B4" s="23" t="n">
        <v>66</v>
      </c>
    </row>
    <row r="5">
      <c r="A5" s="22" t="inlineStr">
        <is>
          <t>Total Revenue (USD)</t>
        </is>
      </c>
      <c r="B5" s="23" t="n">
        <v>879577874943</v>
      </c>
    </row>
    <row r="6">
      <c r="A6" s="22" t="inlineStr">
        <is>
          <t>Avg Revenue (USD)</t>
        </is>
      </c>
      <c r="B6" s="23" t="n">
        <v>13326937499.13636</v>
      </c>
    </row>
    <row r="7">
      <c r="A7" s="22" t="inlineStr">
        <is>
          <t>Median Revenue (USD)</t>
        </is>
      </c>
      <c r="B7" s="23" t="n">
        <v>9647000000</v>
      </c>
    </row>
    <row r="8">
      <c r="A8" s="22" t="inlineStr">
        <is>
          <t>Avg SG&amp;A %</t>
        </is>
      </c>
      <c r="B8" s="24" t="n">
        <v>0.07439615750090808</v>
      </c>
    </row>
    <row r="9">
      <c r="A9" s="22" t="inlineStr">
        <is>
          <t>Avg EBIT %</t>
        </is>
      </c>
      <c r="B9" s="24" t="n">
        <v>0.07026656720011006</v>
      </c>
    </row>
    <row r="10">
      <c r="A10" s="22" t="inlineStr">
        <is>
          <t>Avg SG&amp;A + EBIT %</t>
        </is>
      </c>
      <c r="B10" s="24" t="n">
        <v>0.1413017680909467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</cols>
  <sheetData>
    <row r="1">
      <c r="A1" s="21" t="inlineStr">
        <is>
          <t>Tier 2 Supplier Summary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s="22" t="inlineStr">
        <is>
          <t>Companies included</t>
        </is>
      </c>
      <c r="B3" s="23" t="n">
        <v>144</v>
      </c>
    </row>
    <row r="4">
      <c r="A4" s="22" t="inlineStr">
        <is>
          <t>Companies with revenue data</t>
        </is>
      </c>
      <c r="B4" s="23" t="n">
        <v>144</v>
      </c>
    </row>
    <row r="5">
      <c r="A5" s="22" t="inlineStr">
        <is>
          <t>Total Revenue (USD)</t>
        </is>
      </c>
      <c r="B5" s="23" t="n">
        <v>1077753538130</v>
      </c>
    </row>
    <row r="6">
      <c r="A6" s="22" t="inlineStr">
        <is>
          <t>Avg Revenue (USD)</t>
        </is>
      </c>
      <c r="B6" s="23" t="n">
        <v>7484399570.347222</v>
      </c>
    </row>
    <row r="7">
      <c r="A7" s="22" t="inlineStr">
        <is>
          <t>Median Revenue (USD)</t>
        </is>
      </c>
      <c r="B7" s="23" t="n">
        <v>1189600000</v>
      </c>
    </row>
    <row r="8">
      <c r="A8" s="22" t="inlineStr">
        <is>
          <t>Avg SG&amp;A %</t>
        </is>
      </c>
      <c r="B8" s="24" t="n">
        <v>0.07674974294465481</v>
      </c>
    </row>
    <row r="9">
      <c r="A9" s="22" t="inlineStr">
        <is>
          <t>Avg EBIT %</t>
        </is>
      </c>
      <c r="B9" s="24" t="n">
        <v>0.05633886679669689</v>
      </c>
    </row>
    <row r="10">
      <c r="A10" s="22" t="inlineStr">
        <is>
          <t>Avg SG&amp;A + EBIT %</t>
        </is>
      </c>
      <c r="B10" s="24" t="n">
        <v>0.1349287856662395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2" max="2"/>
  </cols>
  <sheetData>
    <row r="1">
      <c r="A1" s="25" t="inlineStr">
        <is>
          <t>METHODOLOGY</t>
        </is>
      </c>
    </row>
    <row r="2">
      <c r="A2" s="26" t="inlineStr"/>
    </row>
    <row r="3">
      <c r="A3" s="25" t="inlineStr">
        <is>
          <t>Inclusion Criteria</t>
        </is>
      </c>
    </row>
    <row r="4">
      <c r="A4" s="26" t="inlineStr">
        <is>
          <t xml:space="preserve">  Tier 1: Public company; directly supplies physical auto components; revenue ~$2B+</t>
        </is>
      </c>
    </row>
    <row r="5">
      <c r="A5" s="26" t="inlineStr">
        <is>
          <t xml:space="preserve">  Tier 2: Public company; supplies sub-assemblies or specialty components to Tier 1 or OEMs</t>
        </is>
      </c>
    </row>
    <row r="6">
      <c r="A6" s="26" t="inlineStr"/>
    </row>
    <row r="7">
      <c r="A7" s="25" t="inlineStr">
        <is>
          <t>Exclusion Criteria</t>
        </is>
      </c>
    </row>
    <row r="8">
      <c r="A8" s="26" t="inlineStr">
        <is>
          <t xml:space="preserve">  OEMs (vehicle manufacturers), oil &amp; gas companies, trading companies,</t>
        </is>
      </c>
    </row>
    <row r="9">
      <c r="A9" s="26" t="inlineStr">
        <is>
          <t xml:space="preserve">  pure financial/holding entities, diversified industrials with &lt;10% auto revenue.</t>
        </is>
      </c>
    </row>
    <row r="10">
      <c r="A10" s="26" t="inlineStr"/>
    </row>
    <row r="11">
      <c r="A11" s="25" t="inlineStr">
        <is>
          <t>Financial Data</t>
        </is>
      </c>
    </row>
    <row r="12">
      <c r="A12" s="26" t="inlineStr">
        <is>
          <t xml:space="preserve">  Figures are latest quarter (Q4 2025 or Q1 2026 where available) when latest_quarter_financials.json is present; otherwise annual.</t>
        </is>
      </c>
    </row>
    <row r="13">
      <c r="A13" s="26" t="inlineStr">
        <is>
          <t xml:space="preserve">  All financials in USD. Non-USD figures converted using FY-average exchange rates.</t>
        </is>
      </c>
    </row>
    <row r="14">
      <c r="A14" s="26" t="inlineStr">
        <is>
          <t xml:space="preserve">  Revenue, SG&amp;A and EBIT from SEC 10-Q (US), Yahoo (Canada TSX, Europe, Korea), quarterly_overrides.json (gaps), or annual fallback.</t>
        </is>
      </c>
    </row>
    <row r="15">
      <c r="A15" s="26" t="inlineStr">
        <is>
          <t xml:space="preserve">  Japan/HK/Mexico and some symbols (e.g. Valeo FR.PA) often have no Yahoo quarterly P&amp;L; see LIMITATIONS.md.</t>
        </is>
      </c>
    </row>
    <row r="16">
      <c r="A16" s="26" t="inlineStr">
        <is>
          <t xml:space="preserve">  SG&amp;A% = SG&amp;A / Revenue.  EBIT% = EBIT / Revenue.</t>
        </is>
      </c>
    </row>
    <row r="17">
      <c r="A17" s="26" t="inlineStr"/>
    </row>
    <row r="18">
      <c r="A18" s="25" t="inlineStr">
        <is>
          <t>EXCLUDED COMPANIES</t>
        </is>
      </c>
    </row>
    <row r="19">
      <c r="A19" s="26" t="inlineStr"/>
    </row>
    <row r="20">
      <c r="A20" s="2" t="inlineStr">
        <is>
          <t>Company Name</t>
        </is>
      </c>
      <c r="B20" s="2" t="inlineStr">
        <is>
          <t>Reason for Exclusion</t>
        </is>
      </c>
    </row>
    <row r="21">
      <c r="A21" s="26" t="inlineStr">
        <is>
          <t>3I GROUP PLC</t>
        </is>
      </c>
      <c r="B21" s="26" t="inlineStr">
        <is>
          <t>Private equity / infrastructure investor</t>
        </is>
      </c>
    </row>
    <row r="22">
      <c r="A22" s="26" t="inlineStr">
        <is>
          <t>AEQUITA SE &amp; CO KGAA</t>
        </is>
      </c>
      <c r="B22" s="26" t="inlineStr">
        <is>
          <t>Investment holding company — no operating auto component business</t>
        </is>
      </c>
    </row>
    <row r="23">
      <c r="A23" s="26" t="inlineStr">
        <is>
          <t>AMG ADVANCED METALLURGICAL GRP NV</t>
        </is>
      </c>
      <c r="B23" s="26" t="inlineStr">
        <is>
          <t>Specialty metals — primary markets aerospace/energy, not auto</t>
        </is>
      </c>
    </row>
    <row r="24">
      <c r="A24" s="26" t="inlineStr">
        <is>
          <t>APOLLO GLOBAL MANAGEMENT INC</t>
        </is>
      </c>
      <c r="B24" s="26" t="inlineStr">
        <is>
          <t>Private equity / asset manager — no physical auto components</t>
        </is>
      </c>
    </row>
    <row r="25">
      <c r="A25" s="26" t="inlineStr">
        <is>
          <t>ARB CORP LTD</t>
        </is>
      </c>
      <c r="B25" s="26" t="inlineStr">
        <is>
          <t>Off-road accessories aftermarket — not OEM automotive supply chain</t>
        </is>
      </c>
    </row>
    <row r="26">
      <c r="A26" s="26" t="inlineStr">
        <is>
          <t>ARROW ELECTRONICS INC</t>
        </is>
      </c>
      <c r="B26" s="26" t="inlineStr">
        <is>
          <t>Electronics distributor — not a manufacturer</t>
        </is>
      </c>
    </row>
    <row r="27">
      <c r="A27" s="26" t="inlineStr">
        <is>
          <t>ATLAS COPCO AB</t>
        </is>
      </c>
      <c r="B27" s="26" t="inlineStr">
        <is>
          <t>Industrial tools / compressors — not auto components</t>
        </is>
      </c>
    </row>
    <row r="28">
      <c r="A28" s="26" t="inlineStr">
        <is>
          <t>AVERY DENNISON CORP</t>
        </is>
      </c>
      <c r="B28" s="26" t="inlineStr">
        <is>
          <t>Label / RFID / packaging — not physical auto components</t>
        </is>
      </c>
    </row>
    <row r="29">
      <c r="A29" s="26" t="inlineStr">
        <is>
          <t>AVIENT CORPORATION</t>
        </is>
      </c>
      <c r="B29" s="26" t="inlineStr">
        <is>
          <t>Specialty polymer distribution — not direct auto component manufacturer</t>
        </is>
      </c>
    </row>
    <row r="30">
      <c r="A30" s="26" t="inlineStr">
        <is>
          <t>AVNET INC</t>
        </is>
      </c>
      <c r="B30" s="26" t="inlineStr">
        <is>
          <t>Electronics distributor — not a manufacturer</t>
        </is>
      </c>
    </row>
    <row r="31">
      <c r="A31" s="26" t="inlineStr">
        <is>
          <t>BANK OF NOVA SCOTIA, THE</t>
        </is>
      </c>
      <c r="B31" s="26" t="inlineStr">
        <is>
          <t>Bank — financial services</t>
        </is>
      </c>
    </row>
    <row r="32">
      <c r="A32" s="26" t="inlineStr">
        <is>
          <t>BERKSHIRE HATHAWAY INC</t>
        </is>
      </c>
      <c r="B32" s="26" t="inlineStr">
        <is>
          <t>Holding company / financial conglomerate</t>
        </is>
      </c>
    </row>
    <row r="33">
      <c r="A33" s="26" t="inlineStr">
        <is>
          <t>CADRE HOLDINGS INC</t>
        </is>
      </c>
      <c r="B33" s="26" t="inlineStr">
        <is>
          <t>Law enforcement / safety equipment — not automotive</t>
        </is>
      </c>
    </row>
    <row r="34">
      <c r="A34" s="26" t="inlineStr">
        <is>
          <t>CAPITAL SOUTHWEST CORP</t>
        </is>
      </c>
      <c r="B34" s="26" t="inlineStr">
        <is>
          <t>Business development company (BDC) / financial</t>
        </is>
      </c>
    </row>
    <row r="35">
      <c r="A35" s="26" t="inlineStr">
        <is>
          <t>CCL INDUSTRIES INC</t>
        </is>
      </c>
      <c r="B35" s="26" t="inlineStr">
        <is>
          <t>Label / packaging solutions — not auto components</t>
        </is>
      </c>
    </row>
    <row r="36">
      <c r="A36" s="26" t="inlineStr">
        <is>
          <t>CITIC LIMITED</t>
        </is>
      </c>
      <c r="B36" s="26" t="inlineStr">
        <is>
          <t>State-owned financial/industrial conglomerate — not auto component manufacturer</t>
        </is>
      </c>
    </row>
    <row r="37">
      <c r="A37" s="26" t="inlineStr">
        <is>
          <t>COMPASS DIVERSIFIED HOLDINGS</t>
        </is>
      </c>
      <c r="B37" s="26" t="inlineStr">
        <is>
          <t>Diversified holding company</t>
        </is>
      </c>
    </row>
    <row r="38">
      <c r="A38" s="26" t="inlineStr">
        <is>
          <t>DEERE &amp; CO</t>
        </is>
      </c>
      <c r="B38" s="26" t="inlineStr">
        <is>
          <t>Agricultural / construction equipment OEM</t>
        </is>
      </c>
    </row>
    <row r="39">
      <c r="A39" s="26" t="inlineStr">
        <is>
          <t>DOMETIC GROUP AB (PUBL)</t>
        </is>
      </c>
      <c r="B39" s="26" t="inlineStr">
        <is>
          <t>RV / marine climate control — not OEM automotive supplier</t>
        </is>
      </c>
    </row>
    <row r="40">
      <c r="A40" s="26" t="inlineStr">
        <is>
          <t>DOVER CORPORATION</t>
        </is>
      </c>
      <c r="B40" s="26" t="inlineStr">
        <is>
          <t>Diversified industrial — no primary automotive physical component segment</t>
        </is>
      </c>
    </row>
    <row r="41">
      <c r="A41" s="26" t="inlineStr">
        <is>
          <t>DUPONT DE NEMOURS INC</t>
        </is>
      </c>
      <c r="B41" s="26" t="inlineStr">
        <is>
          <t>Diversified materials — automotive is small segment; primarily specialty chemicals</t>
        </is>
      </c>
    </row>
    <row r="42">
      <c r="A42" s="26" t="inlineStr">
        <is>
          <t>EMERSON ELECTRIC CO</t>
        </is>
      </c>
      <c r="B42" s="26" t="inlineStr">
        <is>
          <t>Industrial automation — no meaningful automotive physical components</t>
        </is>
      </c>
    </row>
    <row r="43">
      <c r="A43" s="26" t="inlineStr">
        <is>
          <t>ENERSYS</t>
        </is>
      </c>
      <c r="B43" s="26" t="inlineStr">
        <is>
          <t>Industrial/telecom batteries — not primarily automotive</t>
        </is>
      </c>
    </row>
    <row r="44">
      <c r="A44" s="26" t="inlineStr">
        <is>
          <t>EXXON MOBIL CORP</t>
        </is>
      </c>
      <c r="B44" s="26" t="inlineStr">
        <is>
          <t>Oil &amp; gas — no physical auto components</t>
        </is>
      </c>
    </row>
    <row r="45">
      <c r="A45" s="26" t="inlineStr">
        <is>
          <t>FORD MOTOR CO</t>
        </is>
      </c>
      <c r="B45" s="26" t="inlineStr">
        <is>
          <t>OEM (vehicle manufacturer, not supplier)</t>
        </is>
      </c>
    </row>
    <row r="46">
      <c r="A46" s="26" t="inlineStr">
        <is>
          <t>FORTIVE CORPORATION</t>
        </is>
      </c>
      <c r="B46" s="26" t="inlineStr">
        <is>
          <t>Industrial tech / SaaS — not physical auto components</t>
        </is>
      </c>
    </row>
    <row r="47">
      <c r="A47" s="26" t="inlineStr">
        <is>
          <t>GRUPO CARSO SAB DE CV</t>
        </is>
      </c>
      <c r="B47" s="26" t="inlineStr">
        <is>
          <t>Diversified conglomerate — not automotive component manufacturer</t>
        </is>
      </c>
    </row>
    <row r="48">
      <c r="A48" s="26" t="inlineStr">
        <is>
          <t>HONDA MOTOR CO LTD</t>
        </is>
      </c>
      <c r="B48" s="26" t="inlineStr">
        <is>
          <t>OEM (vehicle manufacturer, not supplier)</t>
        </is>
      </c>
    </row>
    <row r="49">
      <c r="A49" s="26" t="inlineStr">
        <is>
          <t>ICAHN ENTERPRISES LP</t>
        </is>
      </c>
      <c r="B49" s="26" t="inlineStr">
        <is>
          <t>Diversified holding company / PE</t>
        </is>
      </c>
    </row>
    <row r="50">
      <c r="A50" s="26" t="inlineStr">
        <is>
          <t>IDEMITSU KOSAN CO LTD</t>
        </is>
      </c>
      <c r="B50" s="26" t="inlineStr">
        <is>
          <t>Petroleum / oil company</t>
        </is>
      </c>
    </row>
    <row r="51">
      <c r="A51" s="26" t="inlineStr">
        <is>
          <t>ISUZU MOTORS LIMITED</t>
        </is>
      </c>
      <c r="B51" s="26" t="inlineStr">
        <is>
          <t>OEM (vehicle manufacturer, not supplier)</t>
        </is>
      </c>
    </row>
    <row r="52">
      <c r="A52" s="26" t="inlineStr">
        <is>
          <t>ITOCHU CORP</t>
        </is>
      </c>
      <c r="B52" s="26" t="inlineStr">
        <is>
          <t>General trading company — not a manufacturer</t>
        </is>
      </c>
    </row>
    <row r="53">
      <c r="A53" s="26" t="inlineStr">
        <is>
          <t>JOHNSON CONTROLS INC</t>
        </is>
      </c>
      <c r="B53" s="26" t="inlineStr">
        <is>
          <t>Building management systems — sold automotive battery division</t>
        </is>
      </c>
    </row>
    <row r="54">
      <c r="A54" s="26" t="inlineStr">
        <is>
          <t>KANEMATSU CORP</t>
        </is>
      </c>
      <c r="B54" s="26" t="inlineStr">
        <is>
          <t>Trading company — not a manufacturer</t>
        </is>
      </c>
    </row>
    <row r="55">
      <c r="A55" s="26" t="inlineStr">
        <is>
          <t>KKR &amp; CO INC</t>
        </is>
      </c>
      <c r="B55" s="26" t="inlineStr">
        <is>
          <t>Private equity / asset manager</t>
        </is>
      </c>
    </row>
    <row r="56">
      <c r="A56" s="26" t="inlineStr">
        <is>
          <t>LEM HOLDING SA</t>
        </is>
      </c>
      <c r="B56" s="26" t="inlineStr">
        <is>
          <t>Industrial current sensors — automotive segment is small</t>
        </is>
      </c>
    </row>
    <row r="57">
      <c r="A57" s="26" t="inlineStr">
        <is>
          <t>LUXSHARE LTD</t>
        </is>
      </c>
      <c r="B57" s="26" t="inlineStr">
        <is>
          <t>Primarily Apple/consumer electronics — auto division immaterial</t>
        </is>
      </c>
    </row>
    <row r="58">
      <c r="A58" s="26" t="inlineStr">
        <is>
          <t>MARUBENI-ITOCHU STEEL INC</t>
        </is>
      </c>
      <c r="B58" s="26" t="inlineStr">
        <is>
          <t>Steel trading company — not a component manufacturer</t>
        </is>
      </c>
    </row>
    <row r="59">
      <c r="A59" s="26" t="inlineStr">
        <is>
          <t>MITSUBISHI GAS CHEMICAL CO INC</t>
        </is>
      </c>
      <c r="B59" s="26" t="inlineStr">
        <is>
          <t>Industrial chemicals — automotive use is minor</t>
        </is>
      </c>
    </row>
    <row r="60">
      <c r="A60" s="26" t="inlineStr">
        <is>
          <t>MITSUBISHI HEAVY INDUSTRIES LTD</t>
        </is>
      </c>
      <c r="B60" s="26" t="inlineStr">
        <is>
          <t>Defense / energy / ships — automotive contribution immaterial</t>
        </is>
      </c>
    </row>
    <row r="61">
      <c r="A61" s="26" t="inlineStr">
        <is>
          <t>MOTOROLA SOLUTIONS INC</t>
        </is>
      </c>
      <c r="B61" s="26" t="inlineStr">
        <is>
          <t>Public safety communications — not auto components</t>
        </is>
      </c>
    </row>
    <row r="62">
      <c r="A62" s="26" t="inlineStr">
        <is>
          <t>MUELLER INDUSTRIES INC</t>
        </is>
      </c>
      <c r="B62" s="26" t="inlineStr">
        <is>
          <t>Copper products / HVAC — not primarily automotive</t>
        </is>
      </c>
    </row>
    <row r="63">
      <c r="A63" s="26" t="inlineStr">
        <is>
          <t>NACHI FUJIKOSHI CORP</t>
        </is>
      </c>
      <c r="B63" s="26" t="inlineStr">
        <is>
          <t>Primarily machine tools and robots — automotive content small</t>
        </is>
      </c>
    </row>
    <row r="64">
      <c r="A64" s="26" t="inlineStr">
        <is>
          <t>NISSAN MOTOR CO LTD</t>
        </is>
      </c>
      <c r="B64" s="26" t="inlineStr">
        <is>
          <t>OEM (vehicle manufacturer, not supplier)</t>
        </is>
      </c>
    </row>
    <row r="65">
      <c r="A65" s="26" t="inlineStr">
        <is>
          <t>PHILLIPS 66</t>
        </is>
      </c>
      <c r="B65" s="26" t="inlineStr">
        <is>
          <t>Oil &amp; gas refiner — no physical auto components</t>
        </is>
      </c>
    </row>
    <row r="66">
      <c r="A66" s="26" t="inlineStr">
        <is>
          <t>QUANTA COMPUTER INC</t>
        </is>
      </c>
      <c r="B66" s="26" t="inlineStr">
        <is>
          <t>IT hardware / servers — auto EMS is immaterial portion</t>
        </is>
      </c>
    </row>
    <row r="67">
      <c r="A67" s="26" t="inlineStr">
        <is>
          <t>REGAL REXNORD CORPORATION</t>
        </is>
      </c>
      <c r="B67" s="26" t="inlineStr">
        <is>
          <t>Industrial motors — not primary auto component supplier</t>
        </is>
      </c>
    </row>
    <row r="68">
      <c r="A68" s="26" t="inlineStr">
        <is>
          <t>SCHNEIDER ELECTRIC SE</t>
        </is>
      </c>
      <c r="B68" s="26" t="inlineStr">
        <is>
          <t>Building energy management — not auto components</t>
        </is>
      </c>
    </row>
    <row r="69">
      <c r="A69" s="26" t="inlineStr">
        <is>
          <t>SHANGHAI AUTOMOTIVE INDUSTRY CORP G</t>
        </is>
      </c>
      <c r="B69" s="26" t="inlineStr">
        <is>
          <t>OEM — SAIC (vehicle manufacturer)</t>
        </is>
      </c>
    </row>
    <row r="70">
      <c r="A70" s="26" t="inlineStr">
        <is>
          <t>SHELL PLC</t>
        </is>
      </c>
      <c r="B70" s="26" t="inlineStr">
        <is>
          <t>Oil &amp; gas — no physical auto components</t>
        </is>
      </c>
    </row>
    <row r="71">
      <c r="A71" s="26" t="inlineStr">
        <is>
          <t>SHERWIN-WILLIAMS CO, THE</t>
        </is>
      </c>
      <c r="B71" s="26" t="inlineStr">
        <is>
          <t>Paint &amp; coatings — primarily retail/architecture, not auto component manufacturer</t>
        </is>
      </c>
    </row>
    <row r="72">
      <c r="A72" s="26" t="inlineStr">
        <is>
          <t>SIEMENS AKTIENGESELLSCHAFT</t>
        </is>
      </c>
      <c r="B72" s="26" t="inlineStr">
        <is>
          <t>Industrial conglomerate — automotive division divested</t>
        </is>
      </c>
    </row>
    <row r="73">
      <c r="A73" s="26" t="inlineStr">
        <is>
          <t>SONOCO PRODUCTS CO</t>
        </is>
      </c>
      <c r="B73" s="26" t="inlineStr">
        <is>
          <t>Industrial packaging — not auto components</t>
        </is>
      </c>
    </row>
    <row r="74">
      <c r="A74" s="26" t="inlineStr">
        <is>
          <t>SONY CORP</t>
        </is>
      </c>
      <c r="B74" s="26" t="inlineStr">
        <is>
          <t>Consumer electronics — automotive sensors are a minor segment</t>
        </is>
      </c>
    </row>
    <row r="75">
      <c r="A75" s="26" t="inlineStr">
        <is>
          <t>SUMITOMO CORP</t>
        </is>
      </c>
      <c r="B75" s="26" t="inlineStr">
        <is>
          <t>General trading company — not a manufacturer</t>
        </is>
      </c>
    </row>
    <row r="76">
      <c r="A76" s="26" t="inlineStr">
        <is>
          <t>TEXTRON INC</t>
        </is>
      </c>
      <c r="B76" s="26" t="inlineStr">
        <is>
          <t>Aviation (Cessna/Bell) + defense — auto content is immaterial</t>
        </is>
      </c>
    </row>
    <row r="77">
      <c r="A77" s="26" t="inlineStr">
        <is>
          <t>TOTALENERGIES SE</t>
        </is>
      </c>
      <c r="B77" s="26" t="inlineStr">
        <is>
          <t>Oil &amp; gas — no physical auto components</t>
        </is>
      </c>
    </row>
    <row r="78">
      <c r="A78" s="26" t="inlineStr">
        <is>
          <t>TOYOTA MOTOR CORP</t>
        </is>
      </c>
      <c r="B78" s="26" t="inlineStr">
        <is>
          <t>OEM (vehicle manufacturer, not supplier)</t>
        </is>
      </c>
    </row>
    <row r="79">
      <c r="A79" s="26" t="inlineStr">
        <is>
          <t>TOYOTA TSUSHO CORP</t>
        </is>
      </c>
      <c r="B79" s="26" t="inlineStr">
        <is>
          <t>Trading company — not a manufacturer</t>
        </is>
      </c>
    </row>
    <row r="80">
      <c r="A80" s="26" t="inlineStr">
        <is>
          <t>TRIMBLE INC</t>
        </is>
      </c>
      <c r="B80" s="26" t="inlineStr">
        <is>
          <t>Positioning technology / software — not physical auto components</t>
        </is>
      </c>
    </row>
    <row r="81">
      <c r="A81" s="26" t="inlineStr">
        <is>
          <t>ULTRALIFE CORP</t>
        </is>
      </c>
      <c r="B81" s="26" t="inlineStr">
        <is>
          <t>Military &amp; medical batteries — not automotive components</t>
        </is>
      </c>
    </row>
    <row r="82">
      <c r="A82" s="26" t="inlineStr">
        <is>
          <t>VAPOR ACQUISITION CORP</t>
        </is>
      </c>
      <c r="B82" s="26" t="inlineStr">
        <is>
          <t>Holding / SPAC — no operational auto component business</t>
        </is>
      </c>
    </row>
    <row r="83">
      <c r="A83" s="26" t="inlineStr">
        <is>
          <t>VOLKSWAGEN AG</t>
        </is>
      </c>
      <c r="B83" s="26" t="inlineStr">
        <is>
          <t>OEM (vehicle manufacturer, not supplier)</t>
        </is>
      </c>
    </row>
    <row r="84">
      <c r="A84" s="26" t="inlineStr">
        <is>
          <t>VONTIER CORP</t>
        </is>
      </c>
      <c r="B84" s="26" t="inlineStr">
        <is>
          <t>Vehicle software / telematics — no physical auto components</t>
        </is>
      </c>
    </row>
    <row r="85">
      <c r="A85" s="26" t="inlineStr">
        <is>
          <t>WESTINGHOUSE AIR BRAKE TECHNOLOGIES</t>
        </is>
      </c>
      <c r="B85" s="26" t="inlineStr">
        <is>
          <t>Rail equipment — not automotive</t>
        </is>
      </c>
    </row>
    <row r="86">
      <c r="A86" s="26" t="inlineStr">
        <is>
          <t>ZHENGZHOU COAL MINING MACHINERY GRP</t>
        </is>
      </c>
      <c r="B86" s="26" t="inlineStr">
        <is>
          <t>Coal mining equipment — automotive use immaterial</t>
        </is>
      </c>
    </row>
    <row r="87">
      <c r="A87" s="26" t="inlineStr">
        <is>
          <t>ZHUZHOU TIMES NEW MATERIAL TECHNOLO</t>
        </is>
      </c>
      <c r="B87" s="26" t="inlineStr">
        <is>
          <t>Rail / wind composites — automotive use immaterial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2026-03-18T22:13:28Z</dcterms:created>
  <dcterms:modified xmlns:dcterms="http://purl.org/dc/terms/" xmlns:xsi="http://www.w3.org/2001/XMLSchema-instance" xsi:type="dcterms:W3CDTF">2026-03-18T22:13:28Z</dcterms:modified>
</cp:coreProperties>
</file>